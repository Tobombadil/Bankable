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ites" sheetId="2" state="visible" r:id="rId4"/>
    <sheet name="Merged records" sheetId="3" state="visible" r:id="rId5"/>
    <sheet name="Site members" sheetId="4" state="visible" r:id="rId6"/>
    <sheet name="Merged links" sheetId="5" state="visible" r:id="rId7"/>
    <sheet name="Strata" sheetId="6" state="visible" r:id="rId8"/>
  </sheets>
  <definedNames>
    <definedName function="false" hidden="false" localSheetId="4" name="_xlnm.Print_Titles" vbProcedure="false">'Merged links'!$1:$1</definedName>
    <definedName function="false" hidden="true" localSheetId="4" name="_xlnm._FilterDatabase" vbProcedure="false">'Merged links'!$A$1:$M$2</definedName>
    <definedName function="false" hidden="false" localSheetId="2" name="_xlnm.Print_Titles" vbProcedure="false">'Merged records'!$1:$1</definedName>
    <definedName function="false" hidden="true" localSheetId="2" name="_xlnm._FilterDatabase" vbProcedure="false">'Merged records'!$A$1:$S$2</definedName>
    <definedName function="false" hidden="false" localSheetId="3" name="_xlnm.Print_Titles" vbProcedure="false">'Site members'!$1:$1</definedName>
    <definedName function="false" hidden="true" localSheetId="3" name="_xlnm._FilterDatabase" vbProcedure="false">'Site members'!$A$1:$R$331</definedName>
    <definedName function="false" hidden="false" localSheetId="1" name="_xlnm.Print_Titles" vbProcedure="false">Sites!$1:$1</definedName>
    <definedName function="false" hidden="true" localSheetId="1" name="_xlnm._FilterDatabase" vbProcedure="false">Sites!$A$1:$S$51</definedName>
    <definedName function="false" hidden="false" localSheetId="5" name="_xlnm.Print_Titles" vbProcedure="false">Strata!$1:$1</definedName>
    <definedName function="false" hidden="true" localSheetId="5" name="_xlnm._FilterDatabase" vbProcedure="false">Strata!$A$1:$G$3</definedName>
    <definedName function="false" hidden="false" name="BaseURL" vbProcedure="false">Instructions!$B$4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<sst xmlns="http://schemas.openxmlformats.org/spreadsheetml/2006/main" count="5610" uniqueCount="1288">
  <si>
    <t xml:space="preserve">Hand check: sites and merged records</t>
  </si>
  <si>
    <t xml:space="preserve">Yellow cells are yours to fill in; everything else is generated.</t>
  </si>
  <si>
    <t xml:space="preserve">Base URL</t>
  </si>
  <si>
    <t xml:space="preserve">Type the site's address here, without a trailing slash (e.g. https://beta.example.org). Every link in the workbook starts with it; left empty, links are relative paths (/sites/..., /proposals/...).</t>
  </si>
  <si>
    <t xml:space="preserve">Progress (updates as you fill in)</t>
  </si>
  <si>
    <t xml:space="preserve">Sites answered</t>
  </si>
  <si>
    <t xml:space="preserve">Sites answered No</t>
  </si>
  <si>
    <t xml:space="preserve">Sites: share of Yes/No answers that are No (unweighted)</t>
  </si>
  <si>
    <t xml:space="preserve">Merged records answered</t>
  </si>
  <si>
    <t xml:space="preserve">Merged records answered 'No (several projects)'</t>
  </si>
  <si>
    <t xml:space="preserve">Merged: share of Yes/No answers that are No (unweighted)</t>
  </si>
  <si>
    <t xml:space="preserve">What this is for</t>
  </si>
  <si>
    <t xml:space="preserve">Purpose</t>
  </si>
  <si>
    <t xml:space="preserve">You are checking a sample of how the platform groups filings. Two questions decide two things for the beta: (1) do the records in a site belong to one project or site? If more than about 1 in 10 sites group records that are not the same project, sites are switched off for the beta (SITES_ENABLED=0). (2) Is each merged record one real project? If many are several projects, merged records need splitting before the site can claim 'one record per project'.</t>
  </si>
  <si>
    <t xml:space="preserve">Time</t>
  </si>
  <si>
    <t xml:space="preserve">About 2 to 3 hours in all: 50 sites and 0 merged records. Most rows take 1 to 2 minutes; the 5 largest sites can take 5 to 10 minutes each (their unit lists are long). You can stop and resume: blank rows are simply not counted.</t>
  </si>
  <si>
    <t xml:space="preserve">What to fill in</t>
  </si>
  <si>
    <t xml:space="preserve">Only the yellow cells on the Sites and Merged records sheets: the two dropdown columns and Notes. Everything else is the platform's own data as a public visitor sees it. 'Site members' and 'Merged links' list every member and source link in full, for reference.</t>
  </si>
  <si>
    <t xml:space="preserve">How to check a site (Sites sheet)</t>
  </si>
  <si>
    <t xml:space="preserve">Read the row</t>
  </si>
  <si>
    <t xml:space="preserve">'Members' lists the records in the site in display order: #1 is the lead (the largest active filing). Each line gives the name, register, MW, technology, status, and how the platform labels it relative to the lead, with its confidence. Units of one EIA plant are indented under the plant's first record; long unit lists are summarised. Open the site link to see the page itself.</t>
  </si>
  <si>
    <t xml:space="preserve">All these belong to one project or site?</t>
  </si>
  <si>
    <t xml:space="preserve">Yes: every record belongs to one project or one physical site (phases, units, co-located technologies, re-filings and expansions of one site all count as belonging). No: at least one record does not belong with the others (a different developer's project, a competing request at the same substation, an unrelated building). Unsure: you cannot tell from public information.</t>
  </si>
  <si>
    <t xml:space="preserve">If no, what is wrong</t>
  </si>
  <si>
    <t xml:space="preserve">When you answer No, pick the main problem. 'Unrelated record grouped' is the one the 1-in-10 rule counts (as do 'Other' and a No with nothing picked). 'Missing record' (a record that should be in the site is not), 'Wrong lead' and 'Wrong label' are recorded as quality issues of a site whose members do belong together; you may also pick them on a Yes row. Use Notes for anything else.</t>
  </si>
  <si>
    <t xml:space="preserve">How to check a merged record (Merged records sheet)</t>
  </si>
  <si>
    <t xml:space="preserve">'Source links' lists each register row the platform merged into this one record: register, the name the register uses, MW, technology, status and the register's own id. The record link opens the record page, which shows the same members.</t>
  </si>
  <si>
    <t xml:space="preserve">One real project?</t>
  </si>
  <si>
    <t xml:space="preserve">Yes: all the source rows describe one real project. No (several projects): they describe two or more projects, phases or plants that should be separate records (they may still sit in one site). Unsure: you cannot tell.</t>
  </si>
  <si>
    <t xml:space="preserve">What kind</t>
  </si>
  <si>
    <t xml:space="preserve">When the answer is No, what the rows are: phases of one development; separate units or plants at one site; a re-filing or replacement of the same project; unrelated projects; or other.</t>
  </si>
  <si>
    <t xml:space="preserve">How the result is used</t>
  </si>
  <si>
    <t xml:space="preserve">Scoring</t>
  </si>
  <si>
    <t xml:space="preserve">Run: python -m services.sites.handcheck score &lt;this file&gt;. It reports the share of sites judged No (grouping errors) with a 95 % Wilson interval, the same share weighted back to every served site (the sample over-represents the riskier groupings, so the weighted figure is the one that answers 'how many sites are wrong'), and the merged-record share judged 'several projects', by category. Unsure and blank rows are left out of the shares and reported.</t>
  </si>
  <si>
    <t xml:space="preserve">The 1-in-10 rule</t>
  </si>
  <si>
    <t xml:space="preserve">Sites are switched off for the beta when the weighted estimate of sites grouping unrelated records is above 10 %. The scorer states both the point estimate and the interval's lower bound: above 10 % on the point estimate meets the rule as stated; a lower bound above 10 % means the sample rules out an acceptable rate.</t>
  </si>
  <si>
    <t xml:space="preserve">What a result will mean</t>
  </si>
  <si>
    <t xml:space="preserve">With 50 sites judged (unweighted, before weighting): 0 wrong gives an interval of 0 to 7.1%, so the rule is clearly met; up to 0 wrong keeps the whole interval at or under 10 %; 6 or more wrong puts the point estimate above 10 %; 10 or more wrong puts even the lower bound above 10 %. 5 wrong (exactly 1 in 10) gives 4.3% to 21.4%: 50 items cannot separate 8 % from 12 %, only clean results from clearly bad ones.</t>
  </si>
  <si>
    <t xml:space="preserve">Labels you will see</t>
  </si>
  <si>
    <t xml:space="preserve">LEAD</t>
  </si>
  <si>
    <t xml:space="preserve">The site's headline record: the largest filing that is not withdrawn, ties to the latest.</t>
  </si>
  <si>
    <t xml:space="preserve">unit of #n</t>
  </si>
  <si>
    <t xml:space="preserve">Another generator of the same EIA plant as member #n (high confidence).</t>
  </si>
  <si>
    <t xml:space="preserve">phase of the lead</t>
  </si>
  <si>
    <t xml:space="preserve">Same project name, different phase or unit number.</t>
  </si>
  <si>
    <t xml:space="preserve">co-located with the lead</t>
  </si>
  <si>
    <t xml:space="preserve">A different technology at the same site (e.g. gas beside nuclear).</t>
  </si>
  <si>
    <t xml:space="preserve">expansion of / expanded by</t>
  </si>
  <si>
    <t xml:space="preserve">An addition to an operating plant, or a stated MW increase.</t>
  </si>
  <si>
    <t xml:space="preserve">superseded by / re-filing of</t>
  </si>
  <si>
    <t xml:space="preserve">A withdrawn filing that the lead replaced, or that came after it.</t>
  </si>
  <si>
    <t xml:space="preserve">same site, relation unclear</t>
  </si>
  <si>
    <t xml:space="preserve">Grouped by a shared identifier, but no rule says how they relate (low).</t>
  </si>
  <si>
    <t xml:space="preserve">Confidence</t>
  </si>
  <si>
    <t xml:space="preserve">high / medium / low is the rule's own strength, not a measured probability: this check is the first labelled sample.</t>
  </si>
  <si>
    <t xml:space="preserve">Example of a filled row (illustration only, not part of the sample)</t>
  </si>
  <si>
    <t xml:space="preserve">Sites example</t>
  </si>
  <si>
    <t xml:space="preserve">S00 | Example Ridge Solar | members: #1 Example Ridge Solar 200 MW; #2 Example Ridge Solar II 100 MW (phase of the lead, high); #3 Other Co Storage 50 MW (same site, relation unclear, low) | All these belong to one project or site? = No | If no, what is wrong = Unrelated record grouped | Notes = '#3 is a different developer's battery at the same substation'</t>
  </si>
  <si>
    <t xml:space="preserve">Merged example</t>
  </si>
  <si>
    <t xml:space="preserve">M00 | Example Flats | 1. CAISO queue: Example Flats I; 2. EIA-860M: Example Flats II | One real project? = No (several projects) | What kind = Phases of one development | Notes = 'two phases, separate EIA plants'</t>
  </si>
  <si>
    <t xml:space="preserve">About this file</t>
  </si>
  <si>
    <t xml:space="preserve">Produced from</t>
  </si>
  <si>
    <t xml:space="preserve">a copy of the 4-source e2e store (web/.data/e2e-test.db, EIA-860M and the CAISO, ERCOT and NYISO queues) with sites built on the copy; generated 2026-10-10 19:50 UTC; seed 20261014; tier 'public'; platform posture 'noncommercial'; site rules 2026-10-10.1.</t>
  </si>
  <si>
    <t xml:space="preserve">Stable identifiers</t>
  </si>
  <si>
    <t xml:space="preserve">Record and site ids are minted when a store is loaded, so another store (the beta) has different ids and links. Each row also carries stable keys (register id plus the register's record id, a hash where the licence does not let the platform print the id; EIA plant ids). Regenerate against the store you will browse: python -m services.sites.handcheck generate --database-url &lt;url&gt; --out &lt;dir&gt; --seed 20261014. The same seed draws the same items wherever the stores agree.</t>
  </si>
  <si>
    <t xml:space="preserve">Item</t>
  </si>
  <si>
    <t xml:space="preserve">Site</t>
  </si>
  <si>
    <t xml:space="preserve">Grouped because</t>
  </si>
  <si>
    <t xml:space="preserve">Members (in site order)</t>
  </si>
  <si>
    <t xml:space="preserve">Notes</t>
  </si>
  <si>
    <t xml:space="preserve">Lead</t>
  </si>
  <si>
    <t xml:space="preserve">Members</t>
  </si>
  <si>
    <t xml:space="preserve">Lowest label confidence</t>
  </si>
  <si>
    <t xml:space="preserve">Connection points</t>
  </si>
  <si>
    <t xml:space="preserve">Sponsors</t>
  </si>
  <si>
    <t xml:space="preserve">EIA plant ids</t>
  </si>
  <si>
    <t xml:space="preserve">Stratum</t>
  </si>
  <si>
    <t xml:space="preserve">Stratum population</t>
  </si>
  <si>
    <t xml:space="preserve">Stratum sample</t>
  </si>
  <si>
    <t xml:space="preserve">Weight</t>
  </si>
  <si>
    <t xml:space="preserve">Site id (this store)</t>
  </si>
  <si>
    <t xml:space="preserve">Member keys (stable)</t>
  </si>
  <si>
    <t xml:space="preserve">S01</t>
  </si>
  <si>
    <t xml:space="preserve">Same EIA plant</t>
  </si>
  <si>
    <t xml:space="preserve">#1 Hashknife Energy Center II LLC | EIA-860M Preliminary Monthly Electric Generator Inventory | 200 MW storage | Under construction | LEAD
    #2 Hashknife Energy Center II LLC | EIA-860M Preliminary Monthly Electric Generator Inventory | 200 MW solar | Under construction | unit of #1 (high)</t>
  </si>
  <si>
    <t xml:space="preserve">Hashknife Energy Center II LLC
200 MW, storage, Under construction, US-AZ</t>
  </si>
  <si>
    <t xml:space="preserve">high</t>
  </si>
  <si>
    <t xml:space="preserve">Invenergy Services LLC</t>
  </si>
  <si>
    <t xml:space="preserve">69779</t>
  </si>
  <si>
    <t xml:space="preserve">eia_plant/high</t>
  </si>
  <si>
    <t xml:space="preserve">site_1M4KNFAFTEBEAE4TDDHNH7F1S</t>
  </si>
  <si>
    <t xml:space="preserve">us.eia.860m:69779-HK2ST; us.eia.860m:69779-HK2SO</t>
  </si>
  <si>
    <t xml:space="preserve">S02</t>
  </si>
  <si>
    <t xml:space="preserve">#1 Rexford 2 Solar Farm | EIA-860M Preliminary Monthly Electric Generator Inventory | 200 MW solar | Announced | LEAD
    #2 Rexford 2 Solar Farm | EIA-860M Preliminary Monthly Electric Generator Inventory | 200 MW storage | Announced | unit of #1 (high)</t>
  </si>
  <si>
    <t xml:space="preserve">Rexford 2 Solar Farm
200 MW, solar, Announced, US-CA</t>
  </si>
  <si>
    <t xml:space="preserve">22SV 8ME LLC</t>
  </si>
  <si>
    <t xml:space="preserve">68485</t>
  </si>
  <si>
    <t xml:space="preserve">site_1M4KNFAG3FRT9CS6Y2S397JXZ</t>
  </si>
  <si>
    <t xml:space="preserve">us.eia.860m:68485-22SVA; us.eia.860m:68485-22SVB</t>
  </si>
  <si>
    <t xml:space="preserve">S03</t>
  </si>
  <si>
    <t xml:space="preserve">#1 Harryoung PV and BESS | EIA-860M Preliminary Monthly Electric Generator Inventory | 190 MW storage | Filed | LEAD
    #2 Harryoung PV and BESS | EIA-860M Preliminary Monthly Electric Generator Inventory | 190 MW solar | Filed | unit of #1 (high)</t>
  </si>
  <si>
    <t xml:space="preserve">Harryoung PV and BESS
190 MW, storage, Filed, US-TX</t>
  </si>
  <si>
    <t xml:space="preserve">Gransolar Texas Four LLC</t>
  </si>
  <si>
    <t xml:space="preserve">67777</t>
  </si>
  <si>
    <t xml:space="preserve">site_1M4KNFAG1FTST2APWR06MHTV5</t>
  </si>
  <si>
    <t xml:space="preserve">us.eia.860m:67777-GRS4B; us.eia.860m:67777-GRS4P</t>
  </si>
  <si>
    <t xml:space="preserve">S04</t>
  </si>
  <si>
    <t xml:space="preserve">#1 Energy Center | EIA-860M Preliminary Monthly Electric Generator Inventory | 0.3 MW gas, combustion turbine | Announced | LEAD
    #2 Energy Center | EIA-860M Preliminary Monthly Electric Generator Inventory | 0.3 MW gas, combustion turbine | Announced | unit of #1 (high)
    #3 Energy Center | EIA-860M Preliminary Monthly Electric Generator Inventory | 0.3 MW gas, combustion turbine | Announced | unit of #1 (high)</t>
  </si>
  <si>
    <t xml:space="preserve">Energy Center
0.3 MW, gas, combustion turbine, Announced, US-CA</t>
  </si>
  <si>
    <t xml:space="preserve">University of Redlands</t>
  </si>
  <si>
    <t xml:space="preserve">58168</t>
  </si>
  <si>
    <t xml:space="preserve">site_1M4KNFAG6E9X8RCAC1X04VFZY</t>
  </si>
  <si>
    <t xml:space="preserve">us.eia.860m:58168-TURB4; us.eia.860m:58168-TURB6; us.eia.860m:58168-TURB5</t>
  </si>
  <si>
    <t xml:space="preserve">S05</t>
  </si>
  <si>
    <t xml:space="preserve">#1 Snipatuit Road Solar | EIA-860M Preliminary Monthly Electric Generator Inventory | 4 MW storage | Filed | LEAD
    #2 Snipatuit Road Solar | EIA-860M Preliminary Monthly Electric Generator Inventory | 4 MW solar | Filed | unit of #1 (high)</t>
  </si>
  <si>
    <t xml:space="preserve">Snipatuit Road Solar
4 MW, storage, Filed, US-MA</t>
  </si>
  <si>
    <t xml:space="preserve">Agilitas Energy, Inc.</t>
  </si>
  <si>
    <t xml:space="preserve">68219</t>
  </si>
  <si>
    <t xml:space="preserve">site_1M4KNFAFTFVJSXDXM3DC3Z0QD</t>
  </si>
  <si>
    <t xml:space="preserve">us.eia.860m:68219-SNIES; us.eia.860m:68219-SNIPV</t>
  </si>
  <si>
    <t xml:space="preserve">S06</t>
  </si>
  <si>
    <t xml:space="preserve">#1 Libra Solar | EIA-860M Preliminary Monthly Electric Generator Inventory | 700 MW storage | Under construction | LEAD
    #2 Libra Solar | EIA-860M Preliminary Monthly Electric Generator Inventory | 700 MW solar | Under construction | unit of #1 (high)</t>
  </si>
  <si>
    <t xml:space="preserve">Libra Solar
700 MW, storage, Under construction, US-NV</t>
  </si>
  <si>
    <t xml:space="preserve">Libra Solar LLC</t>
  </si>
  <si>
    <t xml:space="preserve">69857</t>
  </si>
  <si>
    <t xml:space="preserve">site_1M4KNFAFZE4M94TQW52YA64S9</t>
  </si>
  <si>
    <t xml:space="preserve">us.eia.860m:69857-LBRBS; us.eia.860m:69857-LBRPV</t>
  </si>
  <si>
    <t xml:space="preserve">S07</t>
  </si>
  <si>
    <t xml:space="preserve">#1 Project Matador Gas Plant (PMG) | EIA-860M Preliminary Monthly Electric Generator Inventory | 260 MW gas, combined cycle | Announced | LEAD
    #2 Project Matador Gas Plant (PMG) | EIA-860M Preliminary Monthly Electric Generator Inventory | 260 MW gas, combined cycle | Announced | unit of #1 (high)
    #3 Project Matador Gas Plant (PMG) | EIA-860M Preliminary Monthly Electric Generator Inventory | 260 MW gas, combined cycle | Announced | unit of #1 (high)
    ... and 154 more units of EIA plant 69799 (unit of #1, high): 18.9 MW to 260 MW, Announced, Permitted; all listed on 'Site members'</t>
  </si>
  <si>
    <t xml:space="preserve">Project Matador Gas Plant (PMG)
260 MW, gas, combined cycle, Announced, US-TX</t>
  </si>
  <si>
    <t xml:space="preserve">Fermi America</t>
  </si>
  <si>
    <t xml:space="preserve">69799</t>
  </si>
  <si>
    <t xml:space="preserve">largest</t>
  </si>
  <si>
    <t xml:space="preserve">site_1M4KNFAFWEC6TWT678BC3JDGJ</t>
  </si>
  <si>
    <t xml:space="preserve">us.eia.860m:69799-F1G01; us.eia.860m:69799-F1G02; us.eia.860m:69799-F1G03; us.eia.860m:69799-F2G01; us.eia.860m:69799-F2G02; us.eia.860m:69799-F2G03; us.eia.860m:69799-F1S02; us.eia.860m:69799-F1S01; us.eia.860m:69799-F1S03; us.eia.860m:69799-F2S02; us.eia.860m:69799-F2S01; us.eia.860m:69799-F2S03; us.eia.860m:69799-FBS01; us.eia.860m:69799-ES001; us.eia.860m:69799-ES002; us.eia.860m:69799-ES003; us.eia.860m:69799-ES004; us.eia.860m:69799-ES005; us.eia.860m:69799-ES006; us.eia.860m:69799-ES008; us.eia.860m:69799-ES007; us.eia.860m:69799-ES010; us.eia.860m:69799-ES009; us.eia.860m:69799-ES011; us.eia.860m:69799-ES012; us.eia.860m:69799-ES013; us.eia.860m:69799-ES014; us.eia.860m:69799-ES016; us.eia.860m:69799-ES015; us.eia.860m:69799-MS002; us.eia.860m:69799-MS001; us.eia.860m:69799-MS004; us.eia.860m:69799-MS003; us.eia.860m:69799-MS006; us.eia.860m:69799-MS005; us.eia.860m:69799-MS007; us.eia.860m:69799-MS009; us.eia.860m:69799-MS008; us.eia.860m:69799-MS012; us.eia.860m:69799-MS011; us.eia.860m:69799-MS010; us.eia.860m:69799-MS014; us.eia.860m:69799-MS013; us.eia.860m:69799-MS015; us.eia.860m:69799-MS016; us.eia.860m:69799-EG001; us.eia.860m:69799-EG002; us.eia.860m:69799-EG003; us.eia.860m:69799-EG004; us.eia.860m:69799-EG006; us.eia.860m:69799-EG005; us.eia.860m:69799-EG007; us.eia.860m:69799-EG008; us.eia.860m:69799-EG009; us.eia.860m:69799-EG010; us.eia.860m:69799-EG011; us.eia.860m:69799-EG013; us.eia.860m:69799-EG012; us.eia.860m:69799-EG014; us.eia.860m:69799-EG015; us.eia.860m:69799-EG017; us.eia.860m:69799-EG016; us.eia.860m:69799-EG019; us.eia.860m:69799-EG018; us.eia.860m:69799-EG020; us.eia.860m:69799-EG021; us.eia.860m:69799-EG022; us.eia.860m:69799-EG023; us.eia.860m:69799-EG025; us.eia.860m:69799-EG024; us.eia.860m:69799-EG028; us.eia.860m:69799-EG027; us.eia.860m:69799-EG026; us.eia.860m:69799-EG029; us.eia.860m:69799-EG030; us.eia.860m:69799-EG032; us.eia.860m:69799-EG031; us.eia.860m:69799-EG033; us.eia.860m:69799-EG034; us.eia.860m:69799-EG036; us.eia.860m:69799-EG035; us.eia.860m:69799-EG037; us.eia.860m:69799-EG038; us.eia.860m:69799-EG039; us.eia.860m:69799-EG040; us.eia.860m:69799-EG043; us.eia.860m:69799-EG041; us.eia.860m:69799-EG042; us.eia.860m:69799-EG044; us.eia.860m:69799-EG046; us.eia.860m:69799-EG045; us.eia.860m:69799-EG047; us.eia.860m:69799-EG048; us.eia.860m:69799-MG001; us.eia.860m:69799-MG002; us.eia.860m:69799-MG003; us.eia.860m:69799-MG004; us.eia.860m:69799-MG005; us.eia.860m:69799-MG006; us.eia.860m:69799-MG007; us.eia.860m:69799-MG008; us.eia.860m:69799-MG009; us.eia.860m:69799-MG010; us.eia.860m:69799-MG012; us.eia.860m:69799-MG011; us.eia.860m:69799-MG013; us.eia.860m:69799-MG015; us.eia.860m:69799-MG014; us.eia.860m:69799-MG017; us.eia.860m:69799-MG016; us.eia.860m:69799-MG019; us.eia.860m:69799-MG018; us.eia.860m:69799-MG021; us.eia.860m:69799-MG020; us.eia.860m:69799-MG022; us.eia.860m:69799-MG024; us.eia.860m:69799-MG023; us.eia.860m:69799-MG026; us.eia.860m:69799-MG025; us.eia.860m:69799-MG027; us.eia.860m:69799-MG028; us.eia.860m:69799-MG031; us.eia.860m:69799-MG030; us.eia.860m:69799-MG029; us.eia.860m:69799-MG033; us.eia.860m:69799-MG032; us.eia.860m:69799-MG034; us.eia.860m:69799-MG035; us.eia.860m:69799-MG036; us.eia.860m:69799-MG037; us.eia.860m:69799-MG038; us.eia.860m:69799-MG040; us.eia.860m:69799-MG039; us.eia.860m:69799-MG041; us.eia.860m:69799-MG042; us.eia.860m:69799-MG043; us.eia.860m:69799-MG044; us.eia.860m:69799-MG046; us.eia.860m:69799-MG045; us.eia.860m:69799-MG048; us.eia.860m:69799-MG047; us.eia.860m:69799-FBG01; us.eia.860m:69799-FBG04; us.eia.860m:69799-FBG03; us.eia.860m:69799-FBG02; us.eia.860m:69799-FBG06; us.eia.860m:69799-FBG05; us.eia.860m:69799-G6B01; us.eia.860m:69799-G6B03; us.eia.860m:69799-G6B02; us.eia.860m:69799-TM001; us.eia.860m:69799-TM003; us.eia.860m:69799-TM002; us.eia.860m:69799-TM005; us.eia.860m:69799-TM004; us.eia.860m:69799-TM006; us.eia.860m:69799-TM007</t>
  </si>
  <si>
    <t xml:space="preserve">S08</t>
  </si>
  <si>
    <t xml:space="preserve">#1 Red Butte Solar and Storage | EIA-860M Preliminary Monthly Electric Generator Inventory | 300 MW solar | Filed | LEAD
    #2 Red Butte Solar and Storage | EIA-860M Preliminary Monthly Electric Generator Inventory | 300 MW storage | Filed | unit of #1 (high)</t>
  </si>
  <si>
    <t xml:space="preserve">Red Butte Solar and Storage
300 MW, solar, Filed, US-UT</t>
  </si>
  <si>
    <t xml:space="preserve">BrightNight Power</t>
  </si>
  <si>
    <t xml:space="preserve">68371</t>
  </si>
  <si>
    <t xml:space="preserve">site_1M4KNFAG4E9Z80M5ZBWV2NS26</t>
  </si>
  <si>
    <t xml:space="preserve">us.eia.860m:68371-REBU; us.eia.860m:68371-REBU2</t>
  </si>
  <si>
    <t xml:space="preserve">S09</t>
  </si>
  <si>
    <t xml:space="preserve">#1 Bellefield 2 Solar &amp; Energy Storage Farm | EIA-860M Preliminary Monthly Electric Generator Inventory | 500 MW solar | Under construction | LEAD
    #2 Bellefield 2 Solar &amp; Energy Storage Farm | EIA-860M Preliminary Monthly Electric Generator Inventory | 500 MW storage | Under construction | unit of #1 (high)</t>
  </si>
  <si>
    <t xml:space="preserve">Bellefield 2 Solar &amp; Energy Storage Farm
500 MW, solar, Under construction, US-CA</t>
  </si>
  <si>
    <t xml:space="preserve">26SB 8me LLC</t>
  </si>
  <si>
    <t xml:space="preserve">64209</t>
  </si>
  <si>
    <t xml:space="preserve">site_1M4KNFAFPE0F8HN6G5WMXRB9S</t>
  </si>
  <si>
    <t xml:space="preserve">us.eia.860m:64209-26SBA; us.eia.860m:64209-26SBB</t>
  </si>
  <si>
    <t xml:space="preserve">S10</t>
  </si>
  <si>
    <t xml:space="preserve">#1 Randall Lane Solar | EIA-860M Preliminary Monthly Electric Generator Inventory | 5 MW storage | Filed | LEAD
    #2 Randall Lane Solar | EIA-860M Preliminary Monthly Electric Generator Inventory | 5 MW solar | Filed | unit of #1 (high)</t>
  </si>
  <si>
    <t xml:space="preserve">Randall Lane Solar
5 MW, storage, Filed, US-MA</t>
  </si>
  <si>
    <t xml:space="preserve">ReWild Renewables, LLC</t>
  </si>
  <si>
    <t xml:space="preserve">68218</t>
  </si>
  <si>
    <t xml:space="preserve">site_1M4KNFAFSEBVT6M1ZKEPD6DWD</t>
  </si>
  <si>
    <t xml:space="preserve">us.eia.860m:68218-RANES; us.eia.860m:68218-RANPV</t>
  </si>
  <si>
    <t xml:space="preserve">S11</t>
  </si>
  <si>
    <t xml:space="preserve">#1 Traceview Advanced Power Station | EIA-860M Preliminary Monthly Electric Generator Inventory | 477.7 MW gas, combined cycle | Under construction | LEAD
    #2 Traceview Advanced Power Station | EIA-860M Preliminary Monthly Electric Generator Inventory | 341.7 MW gas, combined cycle | Under construction | unit of #1 (high)</t>
  </si>
  <si>
    <t xml:space="preserve">Traceview Advanced Power Station
477.7 MW, gas, combined cycle, Under construction, US-MS</t>
  </si>
  <si>
    <t xml:space="preserve">Entergy Mississippi LLC</t>
  </si>
  <si>
    <t xml:space="preserve">70187</t>
  </si>
  <si>
    <t xml:space="preserve">site_1M4KNFAG2EVA90M21PV4YS5WF</t>
  </si>
  <si>
    <t xml:space="preserve">us.eia.860m:70187-CT1; us.eia.860m:70187-ST1</t>
  </si>
  <si>
    <t xml:space="preserve">S12</t>
  </si>
  <si>
    <t xml:space="preserve">#1 McGrau Ford Battery Storage Facility | EIA-860M Preliminary Monthly Electric Generator Inventory | 265 MW storage | Under construction | LEAD
    #2 McGrau Ford Battery Storage Facility | EIA-860M Preliminary Monthly Electric Generator Inventory | 265 MW storage | Under construction | unit of #1 (high)</t>
  </si>
  <si>
    <t xml:space="preserve">McGrau Ford Battery Storage Facility
265 MW, storage, Under construction, US-GA</t>
  </si>
  <si>
    <t xml:space="preserve">Georgia Power Co</t>
  </si>
  <si>
    <t xml:space="preserve">68512</t>
  </si>
  <si>
    <t xml:space="preserve">site_1M4KNFAFPEPPBQ2CEWW86TSTC</t>
  </si>
  <si>
    <t xml:space="preserve">us.eia.860m:68512-1; us.eia.860m:68512-2</t>
  </si>
  <si>
    <t xml:space="preserve">S13</t>
  </si>
  <si>
    <t xml:space="preserve">#1 Horseshoe Lake | EIA-860M Preliminary Monthly Electric Generator Inventory | 224 MW gas, combustion turbine | Under construction | LEAD
    #2 Horseshoe Lake | EIA-860M Preliminary Monthly Electric Generator Inventory | 224 MW gas, combustion turbine | Under construction | unit of #1 (high)
    #3 Horseshoe Lake | EIA-860M Preliminary Monthly Electric Generator Inventory | 224 MW gas, combustion turbine | Permitted | unit of #1 (high)
    #4 Horseshoe Lake | EIA-860M Preliminary Monthly Electric Generator Inventory | 224 MW gas, combustion turbine | Permitted | unit of #1 (high)</t>
  </si>
  <si>
    <t xml:space="preserve">Horseshoe Lake
224 MW, gas, combustion turbine, Under construction, US-OK</t>
  </si>
  <si>
    <t xml:space="preserve">Oklahoma Gas &amp; Electric Co</t>
  </si>
  <si>
    <t xml:space="preserve">2951</t>
  </si>
  <si>
    <t xml:space="preserve">site_1M4KNFAFQEZMAPA7W30HF15FN</t>
  </si>
  <si>
    <t xml:space="preserve">us.eia.860m:2951-11; us.eia.860m:2951-12; us.eia.860m:2951-14; us.eia.860m:2951-13</t>
  </si>
  <si>
    <t xml:space="preserve">S14</t>
  </si>
  <si>
    <t xml:space="preserve">#1 Dutchman Solar generation and BESS | EIA-860M Preliminary Monthly Electric Generator Inventory | 499 MW solar | Filed | LEAD
    #2 Dutchman Solar generation and BESS | EIA-860M Preliminary Monthly Electric Generator Inventory | 499 MW storage | Filed | unit of #1 (high)</t>
  </si>
  <si>
    <t xml:space="preserve">Dutchman Solar generation and BESS
499 MW, solar, Filed, US-WY</t>
  </si>
  <si>
    <t xml:space="preserve">DUTC bn, LLC</t>
  </si>
  <si>
    <t xml:space="preserve">68317</t>
  </si>
  <si>
    <t xml:space="preserve">site_1M4KNFAG4E5BRNSCVCX50FKJK</t>
  </si>
  <si>
    <t xml:space="preserve">us.eia.860m:68317-DUTC1; us.eia.860m:68317-DUTC2</t>
  </si>
  <si>
    <t xml:space="preserve">S15</t>
  </si>
  <si>
    <t xml:space="preserve">#1 Homer City Generating Station | EIA-860M Preliminary Monthly Electric Generator Inventory | 360 MW gas, combined cycle | Announced | LEAD
    #2 Homer City Generating Station | EIA-860M Preliminary Monthly Electric Generator Inventory | 360 MW gas, combined cycle | Announced | unit of #1 (high)
    #3 Homer City Generating Station | EIA-860M Preliminary Monthly Electric Generator Inventory | 360 MW gas, combined cycle | Announced | unit of #1 (high)
    ... and 11 more units of EIA plant 3122 (unit of #1, high): 268 MW to 360 MW, Announced; all listed on 'Site members'</t>
  </si>
  <si>
    <t xml:space="preserve">Homer City Generating Station
360 MW, gas, combined cycle, Announced, US-PA</t>
  </si>
  <si>
    <t xml:space="preserve">Homer City Generation, L.P.</t>
  </si>
  <si>
    <t xml:space="preserve">3122</t>
  </si>
  <si>
    <t xml:space="preserve">site_1M4KNFAG1FE7BK395V1BAGC82</t>
  </si>
  <si>
    <t xml:space="preserve">us.eia.860m:3122-CT5; us.eia.860m:3122-CT6; us.eia.860m:3122-CT2; us.eia.860m:3122-CT3; us.eia.860m:3122-CT7; us.eia.860m:3122-CT4; us.eia.860m:3122-CT1; us.eia.860m:3122-CA5; us.eia.860m:3122-CA6; us.eia.860m:3122-CA2; us.eia.860m:3122-CA3; us.eia.860m:3122-CA7; us.eia.860m:3122-CA4; us.eia.860m:3122-CA1</t>
  </si>
  <si>
    <t xml:space="preserve">S16</t>
  </si>
  <si>
    <t xml:space="preserve">#1 Colonel Charles D. Maynard Project | EIA-860M Preliminary Monthly Electric Generator Inventory | 8.6 MW hydro | Filed | LEAD
    #2 Colonel Charles D. Maynard Project | EIA-860M Preliminary Monthly Electric Generator Inventory | 8.6 MW hydro | Filed | unit of #1 (high)
    #3 Colonel Charles D. Maynard Project | EIA-860M Preliminary Monthly Electric Generator Inventory | 8.6 MW hydro | Filed | unit of #1 (high)</t>
  </si>
  <si>
    <t xml:space="preserve">Colonel Charles D. Maynard Project
8.6 MW, hydro, Filed, US-AR</t>
  </si>
  <si>
    <t xml:space="preserve">Maynard Hydroelectric LLC</t>
  </si>
  <si>
    <t xml:space="preserve">69695</t>
  </si>
  <si>
    <t xml:space="preserve">site_1M4KNFAG7ER6SG5PA1BFHMD28</t>
  </si>
  <si>
    <t xml:space="preserve">us.eia.860m:69695-CCM-1; us.eia.860m:69695-CCM-2; us.eia.860m:69695-CCM-3</t>
  </si>
  <si>
    <t xml:space="preserve">S17</t>
  </si>
  <si>
    <t xml:space="preserve">#1 CA Bloomington 2551 S Lilac Avenue Micro | EIA-860M Preliminary Monthly Electric Generator Inventory | 1.5 MW solar | Under construction | LEAD
    #2 CA Bloomington 2551 S Lilac Avenue Micro | EIA-860M Preliminary Monthly Electric Generator Inventory | 1.5 MW storage | Under construction | unit of #1 (high)</t>
  </si>
  <si>
    <t xml:space="preserve">CA Bloomington 2551 S Lilac Avenue Micro
1.5 MW, solar, Under construction, US-CA</t>
  </si>
  <si>
    <t xml:space="preserve">Catalyze Bloomington 2551 S Lilac Avenue Microgrid LLC</t>
  </si>
  <si>
    <t xml:space="preserve">66475</t>
  </si>
  <si>
    <t xml:space="preserve">site_1M4KNFAFRENZA5XJ93XNWENGA</t>
  </si>
  <si>
    <t xml:space="preserve">us.eia.860m:66475-18263; us.eia.860m:66475-B8263</t>
  </si>
  <si>
    <t xml:space="preserve">S18</t>
  </si>
  <si>
    <t xml:space="preserve">#1 Zeta Solar &amp; Storage | EIA-860M Preliminary Monthly Electric Generator Inventory | 75 MW solar | Under construction | LEAD
    #2 Zeta Solar &amp; Storage | EIA-860M Preliminary Monthly Electric Generator Inventory | 75 MW storage | Under construction | unit of #1 (high)</t>
  </si>
  <si>
    <t xml:space="preserve">Zeta Solar &amp; Storage
75 MW, solar, Under construction, US-CA</t>
  </si>
  <si>
    <t xml:space="preserve">Zeta Solar, LLC</t>
  </si>
  <si>
    <t xml:space="preserve">67676</t>
  </si>
  <si>
    <t xml:space="preserve">site_1M4KNFAFVF7BTY16QD7DW6BJ4</t>
  </si>
  <si>
    <t xml:space="preserve">us.eia.860m:67676-GEN01; us.eia.860m:67676-GEN02</t>
  </si>
  <si>
    <t xml:space="preserve">S19</t>
  </si>
  <si>
    <t xml:space="preserve">#1 Robeson Solar I | EIA-860M Preliminary Monthly Electric Generator Inventory | 80 MW solar | Announced | LEAD
    #2 Robeson Solar I | EIA-860M Preliminary Monthly Electric Generator Inventory | 28 MW storage | Announced | unit of #1 (high)</t>
  </si>
  <si>
    <t xml:space="preserve">Robeson Solar I
80 MW, solar, Announced, US-NC</t>
  </si>
  <si>
    <t xml:space="preserve">AES Clean Energy</t>
  </si>
  <si>
    <t xml:space="preserve">68043</t>
  </si>
  <si>
    <t xml:space="preserve">site_1M4KNFAG3FMA95SF3DECWEEAX</t>
  </si>
  <si>
    <t xml:space="preserve">us.eia.860m:68043-ROBES; us.eia.860m:68043-ROBSS</t>
  </si>
  <si>
    <t xml:space="preserve">S20</t>
  </si>
  <si>
    <t xml:space="preserve">#1 NISA Electric Generation Project | EIA-860M Preliminary Monthly Electric Generator Inventory | 220.1 MW storage | Permitted | LEAD
    #2 NISA Electric Generation Project | EIA-860M Preliminary Monthly Electric Generator Inventory | 79.9 MW storage | Permitted | unit of #1 (high)</t>
  </si>
  <si>
    <t xml:space="preserve">NISA Electric Generation Project
220.1 MW, storage, Permitted, US-NY</t>
  </si>
  <si>
    <t xml:space="preserve">NYC Energy LLC</t>
  </si>
  <si>
    <t xml:space="preserve">61331</t>
  </si>
  <si>
    <t xml:space="preserve">site_1M4KNFAG2ENV8VX9EWNYB44GS</t>
  </si>
  <si>
    <t xml:space="preserve">us.eia.860m:61331-BA2; us.eia.860m:61331-BA1</t>
  </si>
  <si>
    <t xml:space="preserve">S21</t>
  </si>
  <si>
    <t xml:space="preserve">#1 Pacifico Power Lancaster 01 | EIA-860M Preliminary Monthly Electric Generator Inventory | 5.9 MW solar | Under construction | LEAD
    #2 Pacifico Power Lancaster 01 | EIA-860M Preliminary Monthly Electric Generator Inventory | 0.5 MW storage | Under construction | unit of #1 (high)</t>
  </si>
  <si>
    <t xml:space="preserve">Pacifico Power Lancaster 01
5.9 MW, solar, Under construction, US-CA</t>
  </si>
  <si>
    <t xml:space="preserve">Pacifico Power Lancaster 01 LLC</t>
  </si>
  <si>
    <t xml:space="preserve">70388</t>
  </si>
  <si>
    <t xml:space="preserve">site_1M4KNFAFPEK6RXR1TGYBDWQ35</t>
  </si>
  <si>
    <t xml:space="preserve">us.eia.860m:70388-LANS; us.eia.860m:70388-LANB</t>
  </si>
  <si>
    <t xml:space="preserve">S22</t>
  </si>
  <si>
    <t xml:space="preserve">#1 Alina Energy LLC | EIA-860M Preliminary Monthly Electric Generator Inventory | 200 MW solar | Announced | LEAD
    #2 Alina Energy LLC | EIA-860M Preliminary Monthly Electric Generator Inventory | 200 MW storage | Announced | unit of #1 (high)</t>
  </si>
  <si>
    <t xml:space="preserve">Alina Energy LLC
200 MW, solar, Announced, US-TX</t>
  </si>
  <si>
    <t xml:space="preserve">Alina Energy LLC</t>
  </si>
  <si>
    <t xml:space="preserve">67250</t>
  </si>
  <si>
    <t xml:space="preserve">site_1M4KNFAG1EEQR9E66CDYEJCD2</t>
  </si>
  <si>
    <t xml:space="preserve">us.eia.860m:67250-ALIPV; us.eia.860m:67250-ALIBS</t>
  </si>
  <si>
    <t xml:space="preserve">S23</t>
  </si>
  <si>
    <t xml:space="preserve">#1 Vast Sands Power | EIA-860M Preliminary Monthly Electric Generator Inventory | 440 MW gas, combustion turbine | Under construction | LEAD
    #2 Vast Sands Power | EIA-860M Preliminary Monthly Electric Generator Inventory | 440 MW gas, combustion turbine | Under construction | unit of #1 (high)</t>
  </si>
  <si>
    <t xml:space="preserve">Vast Sands Power
440 MW, gas, combustion turbine, Under construction, US-TX</t>
  </si>
  <si>
    <t xml:space="preserve">Permian Power I LLC</t>
  </si>
  <si>
    <t xml:space="preserve">69689</t>
  </si>
  <si>
    <t xml:space="preserve">site_1M4KNFAFTEKZRSJ3K634H3MJY</t>
  </si>
  <si>
    <t xml:space="preserve">us.eia.860m:69689-CT11; us.eia.860m:69689-CT12</t>
  </si>
  <si>
    <t xml:space="preserve">S24</t>
  </si>
  <si>
    <t xml:space="preserve">#1 Rawhide | EIA-860M Preliminary Monthly Electric Generator Inventory | 44.6 MW gas, combustion turbine | Announced | LEAD
    #2 Rawhide | EIA-860M Preliminary Monthly Electric Generator Inventory | 44.6 MW gas, combustion turbine | Announced | unit of #1 (high)
    #3 Rawhide | EIA-860M Preliminary Monthly Electric Generator Inventory | 44.6 MW gas, combustion turbine | Announced | unit of #1 (high)
    ... and 2 more units of EIA plant 6761 (unit of #1, high): 44.6 MW to 44.6 MW, Announced; all listed on 'Site members'</t>
  </si>
  <si>
    <t xml:space="preserve">Rawhide
44.6 MW, gas, combustion turbine, Announced, US-CO</t>
  </si>
  <si>
    <t xml:space="preserve">Platte River Power Authority</t>
  </si>
  <si>
    <t xml:space="preserve">6761</t>
  </si>
  <si>
    <t xml:space="preserve">site_1M4KNFAG0EDM8VBEGZRV9Z29Q</t>
  </si>
  <si>
    <t xml:space="preserve">us.eia.860m:6761-H; us.eia.860m:6761-G; us.eia.860m:6761-LM5; us.eia.860m:6761-LM4; us.eia.860m:6761-LM3</t>
  </si>
  <si>
    <t xml:space="preserve">S25</t>
  </si>
  <si>
    <t xml:space="preserve">#1 Cherry | EIA-860M Preliminary Monthly Electric Generator Inventory | 249.7 MW solar | Permitted | LEAD
    #2 Cherry | EIA-860M Preliminary Monthly Electric Generator Inventory | 110 MW storage | Permitted | unit of #1 (high)</t>
  </si>
  <si>
    <t xml:space="preserve">Cherry
249.7 MW, solar, Permitted, US-CA</t>
  </si>
  <si>
    <t xml:space="preserve">Westlands Cherry, LLC</t>
  </si>
  <si>
    <t xml:space="preserve">63850</t>
  </si>
  <si>
    <t xml:space="preserve">site_1M4KNFAFVF6YTJCBAW9C92DBG</t>
  </si>
  <si>
    <t xml:space="preserve">us.eia.860m:63850-CHERY; us.eia.860m:63850-BESS2</t>
  </si>
  <si>
    <t xml:space="preserve">S26</t>
  </si>
  <si>
    <t xml:space="preserve">#1 Vichy Solar | EIA-860M Preliminary Monthly Electric Generator Inventory | 200 MW storage | Announced | LEAD
    #2 Vichy Solar | EIA-860M Preliminary Monthly Electric Generator Inventory | 200 MW solar | Announced | unit of #1 (high)</t>
  </si>
  <si>
    <t xml:space="preserve">Vichy Solar
200 MW, storage, Announced, US-MO</t>
  </si>
  <si>
    <t xml:space="preserve">Vesper Energy Development LLC</t>
  </si>
  <si>
    <t xml:space="preserve">68036</t>
  </si>
  <si>
    <t xml:space="preserve">site_1M4KNFAFZFJ989W6JH7CAZES1</t>
  </si>
  <si>
    <t xml:space="preserve">us.eia.860m:68036-VCHSB; us.eia.860m:68036-VCHSR</t>
  </si>
  <si>
    <t xml:space="preserve">S27</t>
  </si>
  <si>
    <t xml:space="preserve">#1 Solstice Solar LLC | EIA-860M Preliminary Monthly Electric Generator Inventory | 200 MW storage | Announced | LEAD
    #2 Solstice Solar LLC | EIA-860M Preliminary Monthly Electric Generator Inventory | 200 MW solar | Announced | unit of #1 (high)</t>
  </si>
  <si>
    <t xml:space="preserve">Solstice Solar LLC
200 MW, storage, Announced, US-OK</t>
  </si>
  <si>
    <t xml:space="preserve">Clenera DevCo LLC</t>
  </si>
  <si>
    <t xml:space="preserve">70186</t>
  </si>
  <si>
    <t xml:space="preserve">site_1M4KNFAG5EKX83N3KD7MPSXRD</t>
  </si>
  <si>
    <t xml:space="preserve">us.eia.860m:70186-SOLBS; us.eia.860m:70186-SOLPV</t>
  </si>
  <si>
    <t xml:space="preserve">S28</t>
  </si>
  <si>
    <t xml:space="preserve">#1 Hornet Solar II (TX) (Hybrid) | EIA-860M Preliminary Monthly Electric Generator Inventory | 200 MW solar | Filed | LEAD
    #2 Hornet Solar II (TX) (Hybrid) | EIA-860M Preliminary Monthly Electric Generator Inventory | 200 MW storage | Filed | unit of #1 (high)</t>
  </si>
  <si>
    <t xml:space="preserve">Hornet Solar II (TX) (Hybrid)
200 MW, solar, Filed, US-TX</t>
  </si>
  <si>
    <t xml:space="preserve">67985</t>
  </si>
  <si>
    <t xml:space="preserve">site_1M4KNFAG0EW3RMQP83H2R6X48</t>
  </si>
  <si>
    <t xml:space="preserve">us.eia.860m:67985-HRNT2; us.eia.860m:67985-HRT2B</t>
  </si>
  <si>
    <t xml:space="preserve">S29</t>
  </si>
  <si>
    <t xml:space="preserve">#1 Four Mile Mesa Solar, LLC | EIA-860M Preliminary Monthly Electric Generator Inventory | 100 MW solar | Under construction | LEAD
    #2 Four Mile Mesa Solar, LLC | EIA-860M Preliminary Monthly Electric Generator Inventory | 100 MW storage | Under construction | unit of #1 (high)</t>
  </si>
  <si>
    <t xml:space="preserve">Four Mile Mesa Solar, LLC
100 MW, solar, Under construction, US-NM</t>
  </si>
  <si>
    <t xml:space="preserve">Four Mile Mesa Solar, LLC</t>
  </si>
  <si>
    <t xml:space="preserve">69966</t>
  </si>
  <si>
    <t xml:space="preserve">site_1M4KNFAFVE14B58HE94MDVTFD</t>
  </si>
  <si>
    <t xml:space="preserve">us.eia.860m:69966-FMM; us.eia.860m:69966-FMMS</t>
  </si>
  <si>
    <t xml:space="preserve">S30</t>
  </si>
  <si>
    <t xml:space="preserve">#1 CO Bar D Solar and BESS | EIA-860M Preliminary Monthly Electric Generator Inventory | 394 MW storage | Announced | LEAD
    #2 CO Bar D Solar and BESS | EIA-860M Preliminary Monthly Electric Generator Inventory | 394 MW solar | Announced | unit of #1 (high)</t>
  </si>
  <si>
    <t xml:space="preserve">CO Bar D Solar and BESS
394 MW, storage, Announced, US-AZ</t>
  </si>
  <si>
    <t xml:space="preserve">69057</t>
  </si>
  <si>
    <t xml:space="preserve">site_1M4KNFAG1FKHVMRV8TTBMSFF6</t>
  </si>
  <si>
    <t xml:space="preserve">us.eia.860m:69057-CBDBA; us.eia.860m:69057-CBDPV</t>
  </si>
  <si>
    <t xml:space="preserve">S31</t>
  </si>
  <si>
    <t xml:space="preserve">#1 Bishop Ranch - BR 3-GG | EIA-860M Preliminary Monthly Electric Generator Inventory | 1.1 MW solar | Under construction | LEAD
    #2 Bishop Ranch - BR 3-GG | EIA-860M Preliminary Monthly Electric Generator Inventory | 0.6 MW storage | Under construction | unit of #1 (high)
    #3 Bishop Ranch - BR 3-GG | EIA-860M Preliminary Monthly Electric Generator Inventory | 0.2 MW solar | Under construction | unit of #1 (high)</t>
  </si>
  <si>
    <t xml:space="preserve">Bishop Ranch - BR 3-GG
1.1 MW, solar, Under construction, US-CA</t>
  </si>
  <si>
    <t xml:space="preserve">Camino Ramon BR 3-GG Solar Project 2020, LLC</t>
  </si>
  <si>
    <t xml:space="preserve">69706</t>
  </si>
  <si>
    <t xml:space="preserve">site_1M4KNFAFVE6TVXF2YGFKS5TMM</t>
  </si>
  <si>
    <t xml:space="preserve">us.eia.860m:69706-4149C; us.eia.860m:69706-4149B; us.eia.860m:69706-4149R</t>
  </si>
  <si>
    <t xml:space="preserve">S32</t>
  </si>
  <si>
    <t xml:space="preserve">#1 Sienna Solar Farm | EIA-860M Preliminary Monthly Electric Generator Inventory | 200 MW solar | Announced | LEAD
    #2 Sienna Solar Farm | EIA-860M Preliminary Monthly Electric Generator Inventory | 200 MW storage | Announced | unit of #1 (high)</t>
  </si>
  <si>
    <t xml:space="preserve">Sienna Solar Farm
200 MW, solar, Announced, US-CA</t>
  </si>
  <si>
    <t xml:space="preserve">99MT 8me, LLC</t>
  </si>
  <si>
    <t xml:space="preserve">64632</t>
  </si>
  <si>
    <t xml:space="preserve">site_1M4KNFAG3E82TWB9P9RW44Y8M</t>
  </si>
  <si>
    <t xml:space="preserve">us.eia.860m:64632-99MT8; us.eia.860m:64632-99MTB</t>
  </si>
  <si>
    <t xml:space="preserve">S33</t>
  </si>
  <si>
    <t xml:space="preserve">#1 FRP Miller Solar | EIA-860M Preliminary Monthly Electric Generator Inventory | 74.5 MW solar | Under construction | LEAD
    #2 FRP Miller Solar | EIA-860M Preliminary Monthly Electric Generator Inventory | 50 MW storage | Under construction | unit of #1 (high)</t>
  </si>
  <si>
    <t xml:space="preserve">FRP Miller Solar
74.5 MW, solar, Under construction, US-FL</t>
  </si>
  <si>
    <t xml:space="preserve">FRP Miller Solar LLC</t>
  </si>
  <si>
    <t xml:space="preserve">69626</t>
  </si>
  <si>
    <t xml:space="preserve">site_1M4KNFAFSF08STX9TV1NR3TTN</t>
  </si>
  <si>
    <t xml:space="preserve">us.eia.860m:69626-SMF; us.eia.860m:69626-BMF</t>
  </si>
  <si>
    <t xml:space="preserve">S34</t>
  </si>
  <si>
    <t xml:space="preserve">#1 Clear Fork Creek Solar and BESS SLF | EIA-860M Preliminary Monthly Electric Generator Inventory | 600 MW storage | Under construction | LEAD
    #2 Clear Fork Creek Solar and BESS SLF | EIA-860M Preliminary Monthly Electric Generator Inventory | 600 MW solar | Under construction | unit of #1 (high)</t>
  </si>
  <si>
    <t xml:space="preserve">Clear Fork Creek Solar and BESS SLF
600 MW, storage, Under construction, US-TX</t>
  </si>
  <si>
    <t xml:space="preserve">Clear Fork</t>
  </si>
  <si>
    <t xml:space="preserve">65842</t>
  </si>
  <si>
    <t xml:space="preserve">site_1M4KNFAFSFCJRMJYJJAGP9ZAG</t>
  </si>
  <si>
    <t xml:space="preserve">us.eia.860m:65842-CFCBS; us.eia.860m:65842-CFCPV</t>
  </si>
  <si>
    <t xml:space="preserve">S35</t>
  </si>
  <si>
    <t xml:space="preserve">#1 Cuchillas PV and BESS | EIA-860M Preliminary Monthly Electric Generator Inventory | 306.9 MW storage | Filed | LEAD
    #2 Cuchillas PV and BESS | EIA-860M Preliminary Monthly Electric Generator Inventory | 305.6 MW solar | Filed | unit of #1 (high)</t>
  </si>
  <si>
    <t xml:space="preserve">Cuchillas PV and BESS
306.9 MW, storage, Filed, US-TX</t>
  </si>
  <si>
    <t xml:space="preserve">Gransolar Texas Two, LLC</t>
  </si>
  <si>
    <t xml:space="preserve">67776</t>
  </si>
  <si>
    <t xml:space="preserve">site_1M4KNFAG3EVKBABJP1Y174S1R</t>
  </si>
  <si>
    <t xml:space="preserve">us.eia.860m:67776-GRS2B; us.eia.860m:67776-GRS2P</t>
  </si>
  <si>
    <t xml:space="preserve">S36</t>
  </si>
  <si>
    <t xml:space="preserve">#1 Grand Valley Solar Generation and BESS | EIA-860M Preliminary Monthly Electric Generator Inventory | 100 MW solar | Filed | LEAD
    #2 Grand Valley Solar Generation and BESS | EIA-860M Preliminary Monthly Electric Generator Inventory | 100 MW storage | Filed | unit of #1 (high)</t>
  </si>
  <si>
    <t xml:space="preserve">Grand Valley Solar Generation and BESS
100 MW, solar, Filed, US-CO</t>
  </si>
  <si>
    <t xml:space="preserve">GRVA bn, LLC</t>
  </si>
  <si>
    <t xml:space="preserve">68343</t>
  </si>
  <si>
    <t xml:space="preserve">site_1M4KNFAG5FMWS7JZCVK6N6K5E</t>
  </si>
  <si>
    <t xml:space="preserve">us.eia.860m:68343-GRVA1; us.eia.860m:68343-GRVA2</t>
  </si>
  <si>
    <t xml:space="preserve">S37</t>
  </si>
  <si>
    <t xml:space="preserve">#1 Sacramento Valley Energy Center, LLC | EIA-860M Preliminary Monthly Electric Generator Inventory | 200 MW solar | Under construction | LEAD
    #2 Sacramento Valley Energy Center, LLC | EIA-860M Preliminary Monthly Electric Generator Inventory | 100 MW storage | Under construction | unit of #1 (high)</t>
  </si>
  <si>
    <t xml:space="preserve">Sacramento Valley Energy Center, LLC
200 MW, solar, Under construction, US-CA</t>
  </si>
  <si>
    <t xml:space="preserve">Sacramento Valley Energy Center, LLC</t>
  </si>
  <si>
    <t xml:space="preserve">65808</t>
  </si>
  <si>
    <t xml:space="preserve">site_1M4KNFAG5FN1RMNMRWEXH5MD1</t>
  </si>
  <si>
    <t xml:space="preserve">us.eia.860m:65808-SVEC; us.eia.860m:65808-BSVEC</t>
  </si>
  <si>
    <t xml:space="preserve">S38</t>
  </si>
  <si>
    <t xml:space="preserve">#1 Fish Lake Geothermal | EIA-860M Preliminary Monthly Electric Generator Inventory | 9 MW geothermal | Announced | LEAD
    #2 Fish Lake Geothermal | EIA-860M Preliminary Monthly Electric Generator Inventory | 6.2 MW geothermal | Announced | unit of #1 (high)
    #3 Fish Lake Geothermal | EIA-860M Preliminary Monthly Electric Generator Inventory | 4.7 MW geothermal | Announced | unit of #1 (high)
    ... and 2 more units of EIA plant 66618 (unit of #1, high): 3.3 MW to 3.3 MW, Announced; all listed on 'Site members'</t>
  </si>
  <si>
    <t xml:space="preserve">Fish Lake Geothermal
9 MW, geothermal, Announced, US-NV</t>
  </si>
  <si>
    <t xml:space="preserve">Fish Lake Geothermal LLC</t>
  </si>
  <si>
    <t xml:space="preserve">66618</t>
  </si>
  <si>
    <t xml:space="preserve">site_1M4KNFAFWE1NT4WPZGYCZ9XN7</t>
  </si>
  <si>
    <t xml:space="preserve">us.eia.860m:66618-FL5; us.eia.860m:66618-FL4; us.eia.860m:66618-FL3; us.eia.860m:66618-FL1; us.eia.860m:66618-FL2</t>
  </si>
  <si>
    <t xml:space="preserve">S39</t>
  </si>
  <si>
    <t xml:space="preserve">#1 Lupinus Solar 1, LLC | EIA-860M Preliminary Monthly Electric Generator Inventory | 165 MW solar | Announced | LEAD
    #2 Lupinus Solar 1, LLC | EIA-860M Preliminary Monthly Electric Generator Inventory | 83 MW storage | Announced | unit of #1 (high)</t>
  </si>
  <si>
    <t xml:space="preserve">Lupinus Solar 1, LLC
165 MW, solar, Announced, US-TX</t>
  </si>
  <si>
    <t xml:space="preserve">Sunraycer Assets I LLC</t>
  </si>
  <si>
    <t xml:space="preserve">66895</t>
  </si>
  <si>
    <t xml:space="preserve">site_1M4KNFAFWE61858BBT5NQR2B0</t>
  </si>
  <si>
    <t xml:space="preserve">us.eia.860m:66895-LP1PV; us.eia.860m:66895-LP1BA</t>
  </si>
  <si>
    <t xml:space="preserve">S40</t>
  </si>
  <si>
    <t xml:space="preserve">#1 Lange Generating Station | EIA-860M Preliminary Monthly Electric Generator Inventory | 16.6 MW gas, reciprocating engine | Under construction | LEAD
    #2 Lange Generating Station | EIA-860M Preliminary Monthly Electric Generator Inventory | 16.6 MW gas, reciprocating engine | Under construction | unit of #1 (high)
    #3 Lange Generating Station | EIA-860M Preliminary Monthly Electric Generator Inventory | 16.6 MW gas, reciprocating engine | Under construction | unit of #1 (high)
    ... and 3 more units of EIA plant 55478 (unit of #1, high): 16.6 MW to 16.6 MW, Under construction; all listed on 'Site members'</t>
  </si>
  <si>
    <t xml:space="preserve">Lange Generating Station
16.6 MW, gas, reciprocating engine, Under construction, US-SD</t>
  </si>
  <si>
    <t xml:space="preserve">Black Hills Power, Inc.</t>
  </si>
  <si>
    <t xml:space="preserve">55478</t>
  </si>
  <si>
    <t xml:space="preserve">site_1M4KNFAFRFE1RS7DEQ9YVD5D6</t>
  </si>
  <si>
    <t xml:space="preserve">us.eia.860m:55478-IC02; us.eia.860m:55478-IC01; us.eia.860m:55478-IC04; us.eia.860m:55478-IC03; us.eia.860m:55478-IC05; us.eia.860m:55478-IC06</t>
  </si>
  <si>
    <t xml:space="preserve">S41</t>
  </si>
  <si>
    <t xml:space="preserve">#1 NTEC Gas Plant | EIA-860M Preliminary Monthly Electric Generator Inventory | 60.5 MW gas, combustion turbine | Filed | LEAD
    #2 NTEC Gas Plant | EIA-860M Preliminary Monthly Electric Generator Inventory | 60.5 MW gas, combustion turbine | Filed | unit of #1 (high)
    #3 NTEC Gas Plant | EIA-860M Preliminary Monthly Electric Generator Inventory | 60.5 MW gas, combustion turbine | Filed | unit of #1 (high)
    ... and 15 more units of EIA plant 66478 (unit of #1, high): 60.5 MW to 60.5 MW, Filed; all listed on 'Site members'</t>
  </si>
  <si>
    <t xml:space="preserve">NTEC Gas Plant
60.5 MW, gas, combustion turbine, Filed, US-NM</t>
  </si>
  <si>
    <t xml:space="preserve">Navajo Transitional Energy Company</t>
  </si>
  <si>
    <t xml:space="preserve">66478</t>
  </si>
  <si>
    <t xml:space="preserve">site_1M4KNFAG1E7NVHJPM5Z68J7QY</t>
  </si>
  <si>
    <t xml:space="preserve">us.eia.860m:66478-GEN1; us.eia.860m:66478-GEN10; us.eia.860m:66478-GEN11; us.eia.860m:66478-GEN12; us.eia.860m:66478-GEN13; us.eia.860m:66478-GEN15; us.eia.860m:66478-GEN14; us.eia.860m:66478-GEN16; us.eia.860m:66478-GEN17; us.eia.860m:66478-GEN2; us.eia.860m:66478-GEN18; us.eia.860m:66478-GEN3; us.eia.860m:66478-GEN4; us.eia.860m:66478-GEN5; us.eia.860m:66478-GEN6; us.eia.860m:66478-GEN7; us.eia.860m:66478-GEN9; us.eia.860m:66478-GEN8</t>
  </si>
  <si>
    <t xml:space="preserve">S42</t>
  </si>
  <si>
    <t xml:space="preserve">#1 Princeton Road Station | EIA-860M Preliminary Monthly Electric Generator Inventory | 265.4 MW gas, combustion turbine | Announced | LEAD
    #2 Princeton Road Station | EIA-860M Preliminary Monthly Electric Generator Inventory | 265.4 MW gas, combustion turbine | Announced | unit of #1 (high)
    #3 Princeton Road Station | EIA-860M Preliminary Monthly Electric Generator Inventory | 18.1 MW gas, reciprocating engine | Announced | unit of #1 (high)
    ... and 11 more units of EIA plant 69808 (unit of #1, high): 18.1 MW to 18.1 MW, Announced; all listed on 'Site members'</t>
  </si>
  <si>
    <t xml:space="preserve">Princeton Road Station
265.4 MW, gas, combustion turbine, Announced, US-NE</t>
  </si>
  <si>
    <t xml:space="preserve">Nebraska Public Power District</t>
  </si>
  <si>
    <t xml:space="preserve">69808</t>
  </si>
  <si>
    <t xml:space="preserve">site_1M4KNFAG5F42ACY1DA27T7VV7</t>
  </si>
  <si>
    <t xml:space="preserve">us.eia.860m:69808-CT1; us.eia.860m:69808-CT2; us.eia.860m:69808-R01; us.eia.860m:69808-R02; us.eia.860m:69808-R03; us.eia.860m:69808-R05; us.eia.860m:69808-R06; us.eia.860m:69808-R04; us.eia.860m:69808-R07; us.eia.860m:69808-R08; us.eia.860m:69808-R10; us.eia.860m:69808-R09; us.eia.860m:69808-R12; us.eia.860m:69808-R11</t>
  </si>
  <si>
    <t xml:space="preserve">S43</t>
  </si>
  <si>
    <t xml:space="preserve">#1 Grayson | EIA-860M Preliminary Monthly Electric Generator Inventory | 75 MW storage | Under construction | LEAD
    #2 Grayson | EIA-860M Preliminary Monthly Electric Generator Inventory | 18.8 MW gas, reciprocating engine | Under construction | unit of #1 (high)
    #3 Grayson | EIA-860M Preliminary Monthly Electric Generator Inventory | 18.8 MW gas, reciprocating engine | Under construction | unit of #1 (high)
    #4 Grayson | EIA-860M Preliminary Monthly Electric Generator Inventory | 18.8 MW gas, reciprocating engine | Under construction | unit of #1 (high)</t>
  </si>
  <si>
    <t xml:space="preserve">Grayson
75 MW, storage, Under construction, US-CA</t>
  </si>
  <si>
    <t xml:space="preserve">City of Glendale - (CA)</t>
  </si>
  <si>
    <t xml:space="preserve">377</t>
  </si>
  <si>
    <t xml:space="preserve">site_1M4KNFAFQFBHBXEMCDRACHZ6B</t>
  </si>
  <si>
    <t xml:space="preserve">us.eia.860m:377-10; us.eia.860m:377-12; us.eia.860m:377-11; us.eia.860m:377-13</t>
  </si>
  <si>
    <t xml:space="preserve">S44</t>
  </si>
  <si>
    <t xml:space="preserve">#1 Coyanosa Gas | EIA-860M Preliminary Monthly Electric Generator Inventory | 2.5 MW gas, reciprocating engine | Under construction | LEAD
    #2 Coyanosa Gas | EIA-860M Preliminary Monthly Electric Generator Inventory | 2.5 MW gas, reciprocating engine | Under construction | unit of #1 (high)
    #3 Coyanosa Gas | EIA-860M Preliminary Monthly Electric Generator Inventory | 2.5 MW gas, reciprocating engine | Under construction | unit of #1 (high)
    #4 Coyanosa Gas | EIA-860M Preliminary Monthly Electric Generator Inventory | 2.5 MW gas, reciprocating engine | Under construction | unit of #1 (high)</t>
  </si>
  <si>
    <t xml:space="preserve">Coyanosa Gas
2.5 MW, gas, reciprocating engine, Under construction, US-TX</t>
  </si>
  <si>
    <t xml:space="preserve">RPC Merchant, LLC</t>
  </si>
  <si>
    <t xml:space="preserve">69268</t>
  </si>
  <si>
    <t xml:space="preserve">site_1M4KNFAFSFWP80VMZSKPT3Y07</t>
  </si>
  <si>
    <t xml:space="preserve">us.eia.860m:69268-COYA1; us.eia.860m:69268-COYA2; us.eia.860m:69268-COYA4; us.eia.860m:69268-COYA3</t>
  </si>
  <si>
    <t xml:space="preserve">S45</t>
  </si>
  <si>
    <t xml:space="preserve">#1 Darden III Solar | EIA-860M Preliminary Monthly Electric Generator Inventory | 342.7 MW solar | Permitted | LEAD
    #2 Darden III Solar | EIA-860M Preliminary Monthly Electric Generator Inventory | 303.7 MW storage | Permitted | unit of #1 (high)</t>
  </si>
  <si>
    <t xml:space="preserve">Darden III Solar
342.7 MW, solar, Permitted, US-CA</t>
  </si>
  <si>
    <t xml:space="preserve">Intersect USA, LLC</t>
  </si>
  <si>
    <t xml:space="preserve">69663</t>
  </si>
  <si>
    <t xml:space="preserve">site_1M4KNFAG0FACTVE1YCE1N0BGW</t>
  </si>
  <si>
    <t xml:space="preserve">us.eia.860m:69663-IPD3S; us.eia.860m:69663-IPD3B</t>
  </si>
  <si>
    <t xml:space="preserve">S46</t>
  </si>
  <si>
    <t xml:space="preserve">#1 Sienna 2 Solar and Storage Project | EIA-860M Preliminary Monthly Electric Generator Inventory | 55 MW solar | Announced | LEAD
    #2 Sienna 2 Solar and Storage Project | EIA-860M Preliminary Monthly Electric Generator Inventory | 55 MW storage | Announced | unit of #1 (high)</t>
  </si>
  <si>
    <t xml:space="preserve">Sienna 2 Solar and Storage Project
55 MW, solar, Announced, US-CA</t>
  </si>
  <si>
    <t xml:space="preserve">44ST 8ME LLC</t>
  </si>
  <si>
    <t xml:space="preserve">68486</t>
  </si>
  <si>
    <t xml:space="preserve">site_1M4KNFAG4FW6TDNV3PGZ34Q4R</t>
  </si>
  <si>
    <t xml:space="preserve">us.eia.860m:68486-44STA; us.eia.860m:68486-44STB</t>
  </si>
  <si>
    <t xml:space="preserve">S47</t>
  </si>
  <si>
    <t xml:space="preserve">#1 NL NY- Pulaski | EIA-860M Preliminary Monthly Electric Generator Inventory | 2.5 MW storage | Under construction | LEAD
    #2 NL NY- Pulaski | EIA-860M Preliminary Monthly Electric Generator Inventory | 2.5 MW solar | Under construction | unit of #1 (high)</t>
  </si>
  <si>
    <t xml:space="preserve">NL NY- Pulaski
2.5 MW, storage, Under construction, US-NY</t>
  </si>
  <si>
    <t xml:space="preserve">Standard Solar</t>
  </si>
  <si>
    <t xml:space="preserve">69592</t>
  </si>
  <si>
    <t xml:space="preserve">site_1M4KNFAFPEXXS9ADA0RGD23X8</t>
  </si>
  <si>
    <t xml:space="preserve">us.eia.860m:69592-PSKBS; us.eia.860m:69592-PSKPV</t>
  </si>
  <si>
    <t xml:space="preserve">S48</t>
  </si>
  <si>
    <t xml:space="preserve">#1 Kingston | EIA-860M Preliminary Monthly Electric Generator Inventory | 454.8 MW gas, combined cycle | Announced | LEAD
    #2 Kingston | EIA-860M Preliminary Monthly Electric Generator Inventory | 323 MW gas, combined cycle | Announced | unit of #1 (high)
    #3 Kingston | EIA-860M Preliminary Monthly Electric Generator Inventory | 65.8 MW gas, combustion turbine | Announced | unit of #1 (high)
    ... and 15 more units of EIA plant 3407 (unit of #1, high): 65.8 MW to 65.8 MW, Announced; all listed on 'Site members'</t>
  </si>
  <si>
    <t xml:space="preserve">Kingston
454.8 MW, gas, combined cycle, Announced, US-TN</t>
  </si>
  <si>
    <t xml:space="preserve">Tennessee Valley Authority</t>
  </si>
  <si>
    <t xml:space="preserve">3407</t>
  </si>
  <si>
    <t xml:space="preserve">site_1M4KNFAFXE7ER02D2E1MZQXC8</t>
  </si>
  <si>
    <t xml:space="preserve">us.eia.860m:3407-CTG1; us.eia.860m:3407-STG1; us.eia.860m:3407-G1; us.eia.860m:3407-G10; us.eia.860m:3407-G11; us.eia.860m:3407-G12; us.eia.860m:3407-G14; us.eia.860m:3407-G13; us.eia.860m:3407-G16; us.eia.860m:3407-G15; us.eia.860m:3407-G3; us.eia.860m:3407-G2; us.eia.860m:3407-G6; us.eia.860m:3407-G4; us.eia.860m:3407-G5; us.eia.860m:3407-G7; us.eia.860m:3407-G8; us.eia.860m:3407-G9</t>
  </si>
  <si>
    <t xml:space="preserve">S49</t>
  </si>
  <si>
    <t xml:space="preserve">#1 SV CSG Manteno | EIA-860M Preliminary Monthly Electric Generator Inventory | 5 MW storage | Permitted | LEAD
    #2 SV CSG Manteno | EIA-860M Preliminary Monthly Electric Generator Inventory | 5 MW solar | Permitted | unit of #1 (high)</t>
  </si>
  <si>
    <t xml:space="preserve">SV CSG Manteno
5 MW, storage, Permitted, US-IL</t>
  </si>
  <si>
    <t xml:space="preserve">SV CSG Manteno, LLC</t>
  </si>
  <si>
    <t xml:space="preserve">69948</t>
  </si>
  <si>
    <t xml:space="preserve">site_1M4KNFAFWF55THD59FGZ87AEY</t>
  </si>
  <si>
    <t xml:space="preserve">us.eia.860m:69948-MANTB; us.eia.860m:69948-MANTO</t>
  </si>
  <si>
    <t xml:space="preserve">S50</t>
  </si>
  <si>
    <t xml:space="preserve">#1 Marcos PV and BESS | EIA-860M Preliminary Monthly Electric Generator Inventory | 115.9 MW storage | Filed | LEAD
    #2 Marcos PV and BESS | EIA-860M Preliminary Monthly Electric Generator Inventory | 115.9 MW solar | Filed | unit of #1 (high)</t>
  </si>
  <si>
    <t xml:space="preserve">Marcos PV and BESS
115.9 MW, storage, Filed, US-TX</t>
  </si>
  <si>
    <t xml:space="preserve">GRS BESS Texas Eight LLC</t>
  </si>
  <si>
    <t xml:space="preserve">68080</t>
  </si>
  <si>
    <t xml:space="preserve">site_1M4KNFAG5E2J939HMM4GQAN20</t>
  </si>
  <si>
    <t xml:space="preserve">us.eia.860m:68080-GRS8B; us.eia.860m:68080-GRS8P</t>
  </si>
  <si>
    <t xml:space="preserve">Record</t>
  </si>
  <si>
    <t xml:space="preserve">As served</t>
  </si>
  <si>
    <t xml:space="preserve">Source links</t>
  </si>
  <si>
    <t xml:space="preserve">Links</t>
  </si>
  <si>
    <t xml:space="preserve">Registers</t>
  </si>
  <si>
    <t xml:space="preserve">Category</t>
  </si>
  <si>
    <t xml:space="preserve">Also matches</t>
  </si>
  <si>
    <t xml:space="preserve">In site</t>
  </si>
  <si>
    <t xml:space="preserve">Record id (this store)</t>
  </si>
  <si>
    <t xml:space="preserve">Link keys (stable)</t>
  </si>
  <si>
    <t xml:space="preserve">#</t>
  </si>
  <si>
    <t xml:space="preserve">Member</t>
  </si>
  <si>
    <t xml:space="preserve">Relation</t>
  </si>
  <si>
    <t xml:space="preserve">Relation rule</t>
  </si>
  <si>
    <t xml:space="preserve">Grouped by</t>
  </si>
  <si>
    <t xml:space="preserve">Sources</t>
  </si>
  <si>
    <t xml:space="preserve">MW</t>
  </si>
  <si>
    <t xml:space="preserve">Technology</t>
  </si>
  <si>
    <t xml:space="preserve">Status</t>
  </si>
  <si>
    <t xml:space="preserve">Jurisdiction</t>
  </si>
  <si>
    <t xml:space="preserve">Sponsor</t>
  </si>
  <si>
    <t xml:space="preserve">Connection point</t>
  </si>
  <si>
    <t xml:space="preserve">Hashknife Energy Center II LLC</t>
  </si>
  <si>
    <t xml:space="preserve">largest_active_then_latest</t>
  </si>
  <si>
    <t xml:space="preserve">EIA-860M Preliminary Monthly Electric Generator Inventory</t>
  </si>
  <si>
    <t xml:space="preserve">200 MW</t>
  </si>
  <si>
    <t xml:space="preserve">storage</t>
  </si>
  <si>
    <t xml:space="preserve">Under construction</t>
  </si>
  <si>
    <t xml:space="preserve">US-AZ</t>
  </si>
  <si>
    <t xml:space="preserve">prop_1M4HNHZN9EK6RSDGGCN1V6CP4</t>
  </si>
  <si>
    <t xml:space="preserve">us.eia.860m:69779-HK2ST</t>
  </si>
  <si>
    <t xml:space="preserve">unit of #1</t>
  </si>
  <si>
    <t xml:space="preserve">shared_eia_plant</t>
  </si>
  <si>
    <t xml:space="preserve">solar</t>
  </si>
  <si>
    <t xml:space="preserve">prop_1M4HNHZN9FS1B0SS1X96N3MG5</t>
  </si>
  <si>
    <t xml:space="preserve">us.eia.860m:69779-HK2SO</t>
  </si>
  <si>
    <t xml:space="preserve">Rexford 2 Solar Farm</t>
  </si>
  <si>
    <t xml:space="preserve">Announced</t>
  </si>
  <si>
    <t xml:space="preserve">US-CA</t>
  </si>
  <si>
    <t xml:space="preserve">prop_1M4HNJ168EYXBVVVFAQMZ0SW0</t>
  </si>
  <si>
    <t xml:space="preserve">us.eia.860m:68485-22SVA</t>
  </si>
  <si>
    <t xml:space="preserve">prop_1M4HNJ168EZZRK9DXCB1CQKE0</t>
  </si>
  <si>
    <t xml:space="preserve">us.eia.860m:68485-22SVB</t>
  </si>
  <si>
    <t xml:space="preserve">Harryoung PV and BESS</t>
  </si>
  <si>
    <t xml:space="preserve">190 MW</t>
  </si>
  <si>
    <t xml:space="preserve">Filed</t>
  </si>
  <si>
    <t xml:space="preserve">US-TX</t>
  </si>
  <si>
    <t xml:space="preserve">prop_1M4HNJ11DE308PQCSCN31RTW6</t>
  </si>
  <si>
    <t xml:space="preserve">us.eia.860m:67777-GRS4B</t>
  </si>
  <si>
    <t xml:space="preserve">prop_1M4HNJ11EEWRTRZFHM1JD65GQ</t>
  </si>
  <si>
    <t xml:space="preserve">us.eia.860m:67777-GRS4P</t>
  </si>
  <si>
    <t xml:space="preserve">Energy Center</t>
  </si>
  <si>
    <t xml:space="preserve">0.3 MW</t>
  </si>
  <si>
    <t xml:space="preserve">gas, combustion turbine</t>
  </si>
  <si>
    <t xml:space="preserve">prop_1M4HNJ1R3FCHAM5DSHAHXTASW</t>
  </si>
  <si>
    <t xml:space="preserve">us.eia.860m:58168-TURB4</t>
  </si>
  <si>
    <t xml:space="preserve">prop_1M4HNJ1R4EDHV6FRQSGHBS6SH</t>
  </si>
  <si>
    <t xml:space="preserve">us.eia.860m:58168-TURB6</t>
  </si>
  <si>
    <t xml:space="preserve">prop_1M4HNJ1R4FKBTY6BYJN11VH3R</t>
  </si>
  <si>
    <t xml:space="preserve">us.eia.860m:58168-TURB5</t>
  </si>
  <si>
    <t xml:space="preserve">Snipatuit Road Solar</t>
  </si>
  <si>
    <t xml:space="preserve">4 MW</t>
  </si>
  <si>
    <t xml:space="preserve">US-MA</t>
  </si>
  <si>
    <t xml:space="preserve">prop_1M4HNHZN2FK29N4X8SVX95NXQ</t>
  </si>
  <si>
    <t xml:space="preserve">us.eia.860m:68219-SNIES</t>
  </si>
  <si>
    <t xml:space="preserve">prop_1M4HNHZN3FP4BVX6TQRP0HMDB</t>
  </si>
  <si>
    <t xml:space="preserve">us.eia.860m:68219-SNIPV</t>
  </si>
  <si>
    <t xml:space="preserve">Libra Solar</t>
  </si>
  <si>
    <t xml:space="preserve">700 MW</t>
  </si>
  <si>
    <t xml:space="preserve">US-NV</t>
  </si>
  <si>
    <t xml:space="preserve">prop_1M4HNJ0AKERNBA4GX0FAFFAN0</t>
  </si>
  <si>
    <t xml:space="preserve">us.eia.860m:69857-LBRBS</t>
  </si>
  <si>
    <t xml:space="preserve">prop_1M4HNJ0AKFZYTVPX9F76P5P0F</t>
  </si>
  <si>
    <t xml:space="preserve">us.eia.860m:69857-LBRPV</t>
  </si>
  <si>
    <t xml:space="preserve">Project Matador Gas Plant (PMG)</t>
  </si>
  <si>
    <t xml:space="preserve">260 MW</t>
  </si>
  <si>
    <t xml:space="preserve">gas, combined cycle</t>
  </si>
  <si>
    <t xml:space="preserve">prop_1M4HNJ059FT8V26TS8BSH1KCW</t>
  </si>
  <si>
    <t xml:space="preserve">us.eia.860m:69799-F1G01</t>
  </si>
  <si>
    <t xml:space="preserve">prop_1M4HNJ05AEVG8JMP9WJZ7QGGN</t>
  </si>
  <si>
    <t xml:space="preserve">us.eia.860m:69799-F1G02</t>
  </si>
  <si>
    <t xml:space="preserve">prop_1M4HNJ05AFJXRB152WSRSPAEJ</t>
  </si>
  <si>
    <t xml:space="preserve">us.eia.860m:69799-F1G03</t>
  </si>
  <si>
    <t xml:space="preserve">prop_1M4HNJ05BF4NRV5RY3DDKH7N0</t>
  </si>
  <si>
    <t xml:space="preserve">us.eia.860m:69799-F2G01</t>
  </si>
  <si>
    <t xml:space="preserve">prop_1M4HNJ05BFFNS6XH4T8R1PCEN</t>
  </si>
  <si>
    <t xml:space="preserve">us.eia.860m:69799-F2G02</t>
  </si>
  <si>
    <t xml:space="preserve">prop_1M4HNJ05CFJ19ZA4JKMJWZ1CK</t>
  </si>
  <si>
    <t xml:space="preserve">us.eia.860m:69799-F2G03</t>
  </si>
  <si>
    <t xml:space="preserve">105 MW</t>
  </si>
  <si>
    <t xml:space="preserve">prop_1M4HNJ0AGEWAA5TQJENPX3JC2</t>
  </si>
  <si>
    <t xml:space="preserve">us.eia.860m:69799-F1S02</t>
  </si>
  <si>
    <t xml:space="preserve">prop_1M4HNJ0AGFG7ATP3HVABWDV31</t>
  </si>
  <si>
    <t xml:space="preserve">us.eia.860m:69799-F1S01</t>
  </si>
  <si>
    <t xml:space="preserve">prop_1M4HNJ0AHEAWRKVNJXNGG6BZ0</t>
  </si>
  <si>
    <t xml:space="preserve">us.eia.860m:69799-F1S03</t>
  </si>
  <si>
    <t xml:space="preserve">prop_1M4HNJ0AHEZXST66HPFDKS90F</t>
  </si>
  <si>
    <t xml:space="preserve">us.eia.860m:69799-F2S02</t>
  </si>
  <si>
    <t xml:space="preserve">prop_1M4HNJ0AHFGAVCKZ3BVKXWT3R</t>
  </si>
  <si>
    <t xml:space="preserve">us.eia.860m:69799-F2S01</t>
  </si>
  <si>
    <t xml:space="preserve">prop_1M4HNJ0AJF88V9MC3WCN491NT</t>
  </si>
  <si>
    <t xml:space="preserve">us.eia.860m:69799-F2S03</t>
  </si>
  <si>
    <t xml:space="preserve">prop_1M4HNJ0AJFPHBR51GHSNM2K4D</t>
  </si>
  <si>
    <t xml:space="preserve">us.eia.860m:69799-FBS01</t>
  </si>
  <si>
    <t xml:space="preserve">prop_1M4HNJ1SJE09T2G6CDJ87259F</t>
  </si>
  <si>
    <t xml:space="preserve">us.eia.860m:69799-ES001</t>
  </si>
  <si>
    <t xml:space="preserve">prop_1M4HNJ1SJEVYBFXC2S7YAY2K9</t>
  </si>
  <si>
    <t xml:space="preserve">us.eia.860m:69799-ES002</t>
  </si>
  <si>
    <t xml:space="preserve">prop_1M4HNJ1SKEP0963EH6P01T0RG</t>
  </si>
  <si>
    <t xml:space="preserve">us.eia.860m:69799-ES003</t>
  </si>
  <si>
    <t xml:space="preserve">prop_1M4HNJ1SKEYXRAB2DAJHE8GM6</t>
  </si>
  <si>
    <t xml:space="preserve">us.eia.860m:69799-ES004</t>
  </si>
  <si>
    <t xml:space="preserve">prop_1M4HNJ1SMFEAR0ZNVTQZ0AQWF</t>
  </si>
  <si>
    <t xml:space="preserve">us.eia.860m:69799-ES005</t>
  </si>
  <si>
    <t xml:space="preserve">prop_1M4HNJ1SMFG2SB47CJXXVQQB3</t>
  </si>
  <si>
    <t xml:space="preserve">us.eia.860m:69799-ES006</t>
  </si>
  <si>
    <t xml:space="preserve">prop_1M4HNJ1SNEMNTREPSYYT629A8</t>
  </si>
  <si>
    <t xml:space="preserve">us.eia.860m:69799-ES008</t>
  </si>
  <si>
    <t xml:space="preserve">prop_1M4HNJ1SNF4PTWN8Y8X5BC8WG</t>
  </si>
  <si>
    <t xml:space="preserve">us.eia.860m:69799-ES007</t>
  </si>
  <si>
    <t xml:space="preserve">prop_1M4HNJ1SPFJEVVZXHA1GSFGVS</t>
  </si>
  <si>
    <t xml:space="preserve">us.eia.860m:69799-ES010</t>
  </si>
  <si>
    <t xml:space="preserve">prop_1M4HNJ1SPFRMVNB1RFKKZG3NB</t>
  </si>
  <si>
    <t xml:space="preserve">us.eia.860m:69799-ES009</t>
  </si>
  <si>
    <t xml:space="preserve">prop_1M4HNJ1SQE5J8Z7YP94VPBS97</t>
  </si>
  <si>
    <t xml:space="preserve">us.eia.860m:69799-ES011</t>
  </si>
  <si>
    <t xml:space="preserve">prop_1M4HNJ1SQED4A8AYT7T5Z1R83</t>
  </si>
  <si>
    <t xml:space="preserve">us.eia.860m:69799-ES012</t>
  </si>
  <si>
    <t xml:space="preserve">prop_1M4HNJ1SQEK3TRB85GDYQDVHJ</t>
  </si>
  <si>
    <t xml:space="preserve">us.eia.860m:69799-ES013</t>
  </si>
  <si>
    <t xml:space="preserve">prop_1M4HNJ1SRER4VHRXYJHV0HMS8</t>
  </si>
  <si>
    <t xml:space="preserve">us.eia.860m:69799-ES014</t>
  </si>
  <si>
    <t xml:space="preserve">prop_1M4HNJ1SSF2E8N2WG1MWPY4MF</t>
  </si>
  <si>
    <t xml:space="preserve">us.eia.860m:69799-ES016</t>
  </si>
  <si>
    <t xml:space="preserve">prop_1M4HNJ1SSFH4ANZYPSSD7CX4C</t>
  </si>
  <si>
    <t xml:space="preserve">us.eia.860m:69799-ES015</t>
  </si>
  <si>
    <t xml:space="preserve">prop_1M4HNJ1TNEZSSDSVMS3J48R95</t>
  </si>
  <si>
    <t xml:space="preserve">us.eia.860m:69799-MS002</t>
  </si>
  <si>
    <t xml:space="preserve">prop_1M4HNJ1TNFRGB2SC24ZMSNQFS</t>
  </si>
  <si>
    <t xml:space="preserve">us.eia.860m:69799-MS001</t>
  </si>
  <si>
    <t xml:space="preserve">prop_1M4HNJ1TPF61RA08GFR9PMVBJ</t>
  </si>
  <si>
    <t xml:space="preserve">us.eia.860m:69799-MS004</t>
  </si>
  <si>
    <t xml:space="preserve">prop_1M4HNJ1TPFC3THH8YYRMGFQQR</t>
  </si>
  <si>
    <t xml:space="preserve">us.eia.860m:69799-MS003</t>
  </si>
  <si>
    <t xml:space="preserve">prop_1M4HNJ1TQFNNTC2YF8GC3Y8D6</t>
  </si>
  <si>
    <t xml:space="preserve">us.eia.860m:69799-MS006</t>
  </si>
  <si>
    <t xml:space="preserve">prop_1M4HNJ1TQFTGVABND6EDBZH8T</t>
  </si>
  <si>
    <t xml:space="preserve">us.eia.860m:69799-MS005</t>
  </si>
  <si>
    <t xml:space="preserve">prop_1M4HNJ1TRFCPAGW2F7MX7AMDN</t>
  </si>
  <si>
    <t xml:space="preserve">us.eia.860m:69799-MS007</t>
  </si>
  <si>
    <t xml:space="preserve">prop_1M4HNJ1TSF7HA93Y1KA2BZCQS</t>
  </si>
  <si>
    <t xml:space="preserve">us.eia.860m:69799-MS009</t>
  </si>
  <si>
    <t xml:space="preserve">prop_1M4HNJ1TSFMA8HKS2E5YSFQP3</t>
  </si>
  <si>
    <t xml:space="preserve">us.eia.860m:69799-MS008</t>
  </si>
  <si>
    <t xml:space="preserve">prop_1M4HNJ1TTEB2S8JWFH3VCATV8</t>
  </si>
  <si>
    <t xml:space="preserve">us.eia.860m:69799-MS012</t>
  </si>
  <si>
    <t xml:space="preserve">prop_1M4HNJ1TTECW9R3CYMJ5R8890</t>
  </si>
  <si>
    <t xml:space="preserve">us.eia.860m:69799-MS011</t>
  </si>
  <si>
    <t xml:space="preserve">prop_1M4HNJ1TTFQ48CJAY3DD5YBYX</t>
  </si>
  <si>
    <t xml:space="preserve">us.eia.860m:69799-MS010</t>
  </si>
  <si>
    <t xml:space="preserve">prop_1M4HNJ1TVEHWAFEH3GDBAKK7G</t>
  </si>
  <si>
    <t xml:space="preserve">us.eia.860m:69799-MS014</t>
  </si>
  <si>
    <t xml:space="preserve">prop_1M4HNJ1TVFKPSG126J32S8WN4</t>
  </si>
  <si>
    <t xml:space="preserve">us.eia.860m:69799-MS013</t>
  </si>
  <si>
    <t xml:space="preserve">prop_1M4HNJ1TWESNA607KKQ1GN0H6</t>
  </si>
  <si>
    <t xml:space="preserve">us.eia.860m:69799-MS015</t>
  </si>
  <si>
    <t xml:space="preserve">prop_1M4HNJ1TXES3A2000FS9HRPXK</t>
  </si>
  <si>
    <t xml:space="preserve">us.eia.860m:69799-MS016</t>
  </si>
  <si>
    <t xml:space="preserve">57 MW</t>
  </si>
  <si>
    <t xml:space="preserve">prop_1M4HNJ1RTFQPBR58E255SHCD1</t>
  </si>
  <si>
    <t xml:space="preserve">us.eia.860m:69799-EG001</t>
  </si>
  <si>
    <t xml:space="preserve">prop_1M4HNJ1RTFT9TRMPENB6YDFTP</t>
  </si>
  <si>
    <t xml:space="preserve">us.eia.860m:69799-EG002</t>
  </si>
  <si>
    <t xml:space="preserve">prop_1M4HNJ1RVE14TPZ5MHKWAYCQ8</t>
  </si>
  <si>
    <t xml:space="preserve">us.eia.860m:69799-EG003</t>
  </si>
  <si>
    <t xml:space="preserve">prop_1M4HNJ1RVFST8GBM54WA9N9SZ</t>
  </si>
  <si>
    <t xml:space="preserve">us.eia.860m:69799-EG004</t>
  </si>
  <si>
    <t xml:space="preserve">prop_1M4HNJ1RWEWC8N418YE4837ZQ</t>
  </si>
  <si>
    <t xml:space="preserve">us.eia.860m:69799-EG006</t>
  </si>
  <si>
    <t xml:space="preserve">prop_1M4HNJ1RWFMWSR8EBGTBHBZZX</t>
  </si>
  <si>
    <t xml:space="preserve">us.eia.860m:69799-EG005</t>
  </si>
  <si>
    <t xml:space="preserve">prop_1M4HNJ1RXEWYTHAXM89HXBREF</t>
  </si>
  <si>
    <t xml:space="preserve">us.eia.860m:69799-EG007</t>
  </si>
  <si>
    <t xml:space="preserve">prop_1M4HNJ1RXFYMTX3X6FDAK2A8C</t>
  </si>
  <si>
    <t xml:space="preserve">us.eia.860m:69799-EG008</t>
  </si>
  <si>
    <t xml:space="preserve">prop_1M4HNJ1RYF488QMY0JBR50KZ5</t>
  </si>
  <si>
    <t xml:space="preserve">us.eia.860m:69799-EG009</t>
  </si>
  <si>
    <t xml:space="preserve">prop_1M4HNJ1RZF7TB7P59DXCABW6V</t>
  </si>
  <si>
    <t xml:space="preserve">us.eia.860m:69799-EG010</t>
  </si>
  <si>
    <t xml:space="preserve">prop_1M4HNJ1RZFPQ803PSFEDZ1XTY</t>
  </si>
  <si>
    <t xml:space="preserve">us.eia.860m:69799-EG011</t>
  </si>
  <si>
    <t xml:space="preserve">prop_1M4HNJ1S0EEF896YC05NE29K1</t>
  </si>
  <si>
    <t xml:space="preserve">us.eia.860m:69799-EG013</t>
  </si>
  <si>
    <t xml:space="preserve">prop_1M4HNJ1S0F1799VSD9SSBDFGR</t>
  </si>
  <si>
    <t xml:space="preserve">us.eia.860m:69799-EG012</t>
  </si>
  <si>
    <t xml:space="preserve">prop_1M4HNJ1S1EZK8ZGKQN9F5PDZD</t>
  </si>
  <si>
    <t xml:space="preserve">us.eia.860m:69799-EG014</t>
  </si>
  <si>
    <t xml:space="preserve">prop_1M4HNJ1S1FYXTHW8VFAHVZ2HG</t>
  </si>
  <si>
    <t xml:space="preserve">us.eia.860m:69799-EG015</t>
  </si>
  <si>
    <t xml:space="preserve">prop_1M4HNJ1S2EGHR4G3T326WRJ2R</t>
  </si>
  <si>
    <t xml:space="preserve">us.eia.860m:69799-EG017</t>
  </si>
  <si>
    <t xml:space="preserve">prop_1M4HNJ1S2FNX87V8E2DXP62R5</t>
  </si>
  <si>
    <t xml:space="preserve">us.eia.860m:69799-EG016</t>
  </si>
  <si>
    <t xml:space="preserve">prop_1M4HNJ1S3EPYARP405DZTVY9Q</t>
  </si>
  <si>
    <t xml:space="preserve">us.eia.860m:69799-EG019</t>
  </si>
  <si>
    <t xml:space="preserve">prop_1M4HNJ1S3EXDRASRT1G8V9KRX</t>
  </si>
  <si>
    <t xml:space="preserve">us.eia.860m:69799-EG018</t>
  </si>
  <si>
    <t xml:space="preserve">prop_1M4HNJ1S4E2MSMZNHMMKDDT5M</t>
  </si>
  <si>
    <t xml:space="preserve">us.eia.860m:69799-EG020</t>
  </si>
  <si>
    <t xml:space="preserve">prop_1M4HNJ1S4FTTTXC5TMRSHQ8V5</t>
  </si>
  <si>
    <t xml:space="preserve">us.eia.860m:69799-EG021</t>
  </si>
  <si>
    <t xml:space="preserve">prop_1M4HNJ1S5F3BA07YJ3CWNGAKN</t>
  </si>
  <si>
    <t xml:space="preserve">us.eia.860m:69799-EG022</t>
  </si>
  <si>
    <t xml:space="preserve">prop_1M4HNJ1S5FBXBR06S71NYMW7A</t>
  </si>
  <si>
    <t xml:space="preserve">us.eia.860m:69799-EG023</t>
  </si>
  <si>
    <t xml:space="preserve">prop_1M4HNJ1S6F6DVT5Z0CR0NMW07</t>
  </si>
  <si>
    <t xml:space="preserve">us.eia.860m:69799-EG025</t>
  </si>
  <si>
    <t xml:space="preserve">prop_1M4HNJ1S6F6V9QAWW7WS870WS</t>
  </si>
  <si>
    <t xml:space="preserve">us.eia.860m:69799-EG024</t>
  </si>
  <si>
    <t xml:space="preserve">prop_1M4HNJ1S7E8RBBDB2W9NSQXWH</t>
  </si>
  <si>
    <t xml:space="preserve">us.eia.860m:69799-EG028</t>
  </si>
  <si>
    <t xml:space="preserve">prop_1M4HNJ1S7F6XTY1GCPYXM8H0J</t>
  </si>
  <si>
    <t xml:space="preserve">us.eia.860m:69799-EG027</t>
  </si>
  <si>
    <t xml:space="preserve">prop_1M4HNJ1S7FXG9VZC8MZRVWZBV</t>
  </si>
  <si>
    <t xml:space="preserve">us.eia.860m:69799-EG026</t>
  </si>
  <si>
    <t xml:space="preserve">prop_1M4HNJ1S8E2JRSE9FDD6NHJ72</t>
  </si>
  <si>
    <t xml:space="preserve">us.eia.860m:69799-EG029</t>
  </si>
  <si>
    <t xml:space="preserve">prop_1M4HNJ1S8E8BRCD2VZ7KEP556</t>
  </si>
  <si>
    <t xml:space="preserve">us.eia.860m:69799-EG030</t>
  </si>
  <si>
    <t xml:space="preserve">prop_1M4HNJ1S9EJAAEG3PKC1GBC5E</t>
  </si>
  <si>
    <t xml:space="preserve">us.eia.860m:69799-EG032</t>
  </si>
  <si>
    <t xml:space="preserve">prop_1M4HNJ1S9F939VQHPZXZKB14W</t>
  </si>
  <si>
    <t xml:space="preserve">us.eia.860m:69799-EG031</t>
  </si>
  <si>
    <t xml:space="preserve">prop_1M4HNJ1SAE53STF7HMD3VHT1F</t>
  </si>
  <si>
    <t xml:space="preserve">us.eia.860m:69799-EG033</t>
  </si>
  <si>
    <t xml:space="preserve">prop_1M4HNJ1SAFYCTG5XP71C776ZE</t>
  </si>
  <si>
    <t xml:space="preserve">us.eia.860m:69799-EG034</t>
  </si>
  <si>
    <t xml:space="preserve">prop_1M4HNJ1SBEA29H4EDBW1EMRRB</t>
  </si>
  <si>
    <t xml:space="preserve">us.eia.860m:69799-EG036</t>
  </si>
  <si>
    <t xml:space="preserve">prop_1M4HNJ1SBFVVS5VQP4WQF422Z</t>
  </si>
  <si>
    <t xml:space="preserve">us.eia.860m:69799-EG035</t>
  </si>
  <si>
    <t xml:space="preserve">prop_1M4HNJ1SCEHMV6XJP7YY2C8DF</t>
  </si>
  <si>
    <t xml:space="preserve">us.eia.860m:69799-EG037</t>
  </si>
  <si>
    <t xml:space="preserve">prop_1M4HNJ1SCFVGV3PVNWW317KTH</t>
  </si>
  <si>
    <t xml:space="preserve">us.eia.860m:69799-EG038</t>
  </si>
  <si>
    <t xml:space="preserve">prop_1M4HNJ1SDFARTXV44682FN4D9</t>
  </si>
  <si>
    <t xml:space="preserve">us.eia.860m:69799-EG039</t>
  </si>
  <si>
    <t xml:space="preserve">prop_1M4HNJ1SDFV1RWYPP2XAN8YP3</t>
  </si>
  <si>
    <t xml:space="preserve">us.eia.860m:69799-EG040</t>
  </si>
  <si>
    <t xml:space="preserve">prop_1M4HNJ1SEEJTAJPA4PSYJJARS</t>
  </si>
  <si>
    <t xml:space="preserve">us.eia.860m:69799-EG043</t>
  </si>
  <si>
    <t xml:space="preserve">prop_1M4HNJ1SEF00B6QWYM6XGSYZK</t>
  </si>
  <si>
    <t xml:space="preserve">us.eia.860m:69799-EG041</t>
  </si>
  <si>
    <t xml:space="preserve">prop_1M4HNJ1SEFHEANFWMJ4JZ6325</t>
  </si>
  <si>
    <t xml:space="preserve">us.eia.860m:69799-EG042</t>
  </si>
  <si>
    <t xml:space="preserve">prop_1M4HNJ1SFFMV9JJDJ1XFKBTN8</t>
  </si>
  <si>
    <t xml:space="preserve">us.eia.860m:69799-EG044</t>
  </si>
  <si>
    <t xml:space="preserve">prop_1M4HNJ1SGEASBF96B1FHKH9EC</t>
  </si>
  <si>
    <t xml:space="preserve">us.eia.860m:69799-EG046</t>
  </si>
  <si>
    <t xml:space="preserve">prop_1M4HNJ1SGEECAN03APSGR195T</t>
  </si>
  <si>
    <t xml:space="preserve">us.eia.860m:69799-EG045</t>
  </si>
  <si>
    <t xml:space="preserve">prop_1M4HNJ1SHE5WVHNCNDB099CXK</t>
  </si>
  <si>
    <t xml:space="preserve">us.eia.860m:69799-EG047</t>
  </si>
  <si>
    <t xml:space="preserve">prop_1M4HNJ1SHEYBRCPAGGHTA95ZT</t>
  </si>
  <si>
    <t xml:space="preserve">us.eia.860m:69799-EG048</t>
  </si>
  <si>
    <t xml:space="preserve">prop_1M4HNJ1STEK0SZD93XAX70W7B</t>
  </si>
  <si>
    <t xml:space="preserve">us.eia.860m:69799-MG001</t>
  </si>
  <si>
    <t xml:space="preserve">prop_1M4HNJ1SVETABZY97NNAMFHD9</t>
  </si>
  <si>
    <t xml:space="preserve">us.eia.860m:69799-MG002</t>
  </si>
  <si>
    <t xml:space="preserve">prop_1M4HNJ1SWEG9B91KHHT6AZQ0V</t>
  </si>
  <si>
    <t xml:space="preserve">us.eia.860m:69799-MG003</t>
  </si>
  <si>
    <t xml:space="preserve">prop_1M4HNJ1SWFM4RBNYSZSQXA52E</t>
  </si>
  <si>
    <t xml:space="preserve">us.eia.860m:69799-MG004</t>
  </si>
  <si>
    <t xml:space="preserve">prop_1M4HNJ1SXEP4SEW59RFRN48F8</t>
  </si>
  <si>
    <t xml:space="preserve">us.eia.860m:69799-MG005</t>
  </si>
  <si>
    <t xml:space="preserve">prop_1M4HNJ1SXEQPRECDV4D56143Q</t>
  </si>
  <si>
    <t xml:space="preserve">us.eia.860m:69799-MG006</t>
  </si>
  <si>
    <t xml:space="preserve">prop_1M4HNJ1SYERQV37VDGEJDEG0B</t>
  </si>
  <si>
    <t xml:space="preserve">us.eia.860m:69799-MG007</t>
  </si>
  <si>
    <t xml:space="preserve">prop_1M4HNJ1SYEX5R5DWC7GXY26WB</t>
  </si>
  <si>
    <t xml:space="preserve">us.eia.860m:69799-MG008</t>
  </si>
  <si>
    <t xml:space="preserve">prop_1M4HNJ1SZE409RW9F469B1MHR</t>
  </si>
  <si>
    <t xml:space="preserve">us.eia.860m:69799-MG009</t>
  </si>
  <si>
    <t xml:space="preserve">prop_1M4HNJ1SZFJ08CNG5RZ4EHES1</t>
  </si>
  <si>
    <t xml:space="preserve">us.eia.860m:69799-MG010</t>
  </si>
  <si>
    <t xml:space="preserve">prop_1M4HNJ1T0EW1B2FQ0WVBDK0YK</t>
  </si>
  <si>
    <t xml:space="preserve">us.eia.860m:69799-MG012</t>
  </si>
  <si>
    <t xml:space="preserve">prop_1M4HNJ1T0FHW84AXYE16EW609</t>
  </si>
  <si>
    <t xml:space="preserve">us.eia.860m:69799-MG011</t>
  </si>
  <si>
    <t xml:space="preserve">prop_1M4HNJ1T0FVZVS7T3DZWBA8JN</t>
  </si>
  <si>
    <t xml:space="preserve">us.eia.860m:69799-MG013</t>
  </si>
  <si>
    <t xml:space="preserve">prop_1M4HNJ1T1EKSAFPD37AHARK8Z</t>
  </si>
  <si>
    <t xml:space="preserve">us.eia.860m:69799-MG015</t>
  </si>
  <si>
    <t xml:space="preserve">prop_1M4HNJ1T1FH0BXYAHY83BDAGR</t>
  </si>
  <si>
    <t xml:space="preserve">us.eia.860m:69799-MG014</t>
  </si>
  <si>
    <t xml:space="preserve">prop_1M4HNJ1T2E648HCDFSD3161ZN</t>
  </si>
  <si>
    <t xml:space="preserve">us.eia.860m:69799-MG017</t>
  </si>
  <si>
    <t xml:space="preserve">prop_1M4HNJ1T2FS8BM0TGMMBP7YH3</t>
  </si>
  <si>
    <t xml:space="preserve">us.eia.860m:69799-MG016</t>
  </si>
  <si>
    <t xml:space="preserve">prop_1M4HNJ1T3F5KAASEY63D5JWF9</t>
  </si>
  <si>
    <t xml:space="preserve">us.eia.860m:69799-MG019</t>
  </si>
  <si>
    <t xml:space="preserve">prop_1M4HNJ1T3F99VYXT63D4SW40Z</t>
  </si>
  <si>
    <t xml:space="preserve">us.eia.860m:69799-MG018</t>
  </si>
  <si>
    <t xml:space="preserve">prop_1M4HNJ1T4E4C84FAB1AW3XGAP</t>
  </si>
  <si>
    <t xml:space="preserve">us.eia.860m:69799-MG021</t>
  </si>
  <si>
    <t xml:space="preserve">prop_1M4HNJ1T4E6VV6H3BW79HMXSF</t>
  </si>
  <si>
    <t xml:space="preserve">us.eia.860m:69799-MG020</t>
  </si>
  <si>
    <t xml:space="preserve">prop_1M4HNJ1T4FBQREE575C6JBZMF</t>
  </si>
  <si>
    <t xml:space="preserve">us.eia.860m:69799-MG022</t>
  </si>
  <si>
    <t xml:space="preserve">prop_1M4HNJ1T5EMBAGRVPTATRVEH0</t>
  </si>
  <si>
    <t xml:space="preserve">us.eia.860m:69799-MG024</t>
  </si>
  <si>
    <t xml:space="preserve">prop_1M4HNJ1T5F9D9CSTH8PRBG2E0</t>
  </si>
  <si>
    <t xml:space="preserve">us.eia.860m:69799-MG023</t>
  </si>
  <si>
    <t xml:space="preserve">prop_1M4HNJ1T6FC5RFENRPDDM7PKT</t>
  </si>
  <si>
    <t xml:space="preserve">us.eia.860m:69799-MG026</t>
  </si>
  <si>
    <t xml:space="preserve">prop_1M4HNJ1T6FSNAG8JPRGN6G659</t>
  </si>
  <si>
    <t xml:space="preserve">us.eia.860m:69799-MG025</t>
  </si>
  <si>
    <t xml:space="preserve">prop_1M4HNJ1T7F968WZ0BH4VH3F35</t>
  </si>
  <si>
    <t xml:space="preserve">us.eia.860m:69799-MG027</t>
  </si>
  <si>
    <t xml:space="preserve">prop_1M4HNJ1T7FPV971RD5EW7YB0Y</t>
  </si>
  <si>
    <t xml:space="preserve">us.eia.860m:69799-MG028</t>
  </si>
  <si>
    <t xml:space="preserve">prop_1M4HNJ1T8EE2A7J3V707H3XNG</t>
  </si>
  <si>
    <t xml:space="preserve">us.eia.860m:69799-MG031</t>
  </si>
  <si>
    <t xml:space="preserve">prop_1M4HNJ1T8EY7APREJSE1ZDJS3</t>
  </si>
  <si>
    <t xml:space="preserve">us.eia.860m:69799-MG030</t>
  </si>
  <si>
    <t xml:space="preserve">prop_1M4HNJ1T8FEMBM6EWTGRX8VZE</t>
  </si>
  <si>
    <t xml:space="preserve">us.eia.860m:69799-MG029</t>
  </si>
  <si>
    <t xml:space="preserve">prop_1M4HNJ1T9E3CBKPEYJM0W2EG2</t>
  </si>
  <si>
    <t xml:space="preserve">us.eia.860m:69799-MG033</t>
  </si>
  <si>
    <t xml:space="preserve">prop_1M4HNJ1T9FQQSDGWQST058F81</t>
  </si>
  <si>
    <t xml:space="preserve">us.eia.860m:69799-MG032</t>
  </si>
  <si>
    <t xml:space="preserve">prop_1M4HNJ1TAF3EVEKNPP0M6MBC1</t>
  </si>
  <si>
    <t xml:space="preserve">us.eia.860m:69799-MG034</t>
  </si>
  <si>
    <t xml:space="preserve">prop_1M4HNJ1TAF8SSFF1D1M38JWYJ</t>
  </si>
  <si>
    <t xml:space="preserve">us.eia.860m:69799-MG035</t>
  </si>
  <si>
    <t xml:space="preserve">prop_1M4HNJ1TBEY5ADAMHVVNKY3EX</t>
  </si>
  <si>
    <t xml:space="preserve">us.eia.860m:69799-MG036</t>
  </si>
  <si>
    <t xml:space="preserve">prop_1M4HNJ1TBFZHAT4B673459NBH</t>
  </si>
  <si>
    <t xml:space="preserve">us.eia.860m:69799-MG037</t>
  </si>
  <si>
    <t xml:space="preserve">prop_1M4HNJ1TCEPKRHQGBVMNN4HNK</t>
  </si>
  <si>
    <t xml:space="preserve">us.eia.860m:69799-MG038</t>
  </si>
  <si>
    <t xml:space="preserve">prop_1M4HNJ1TCF8Z970XTH9BHBJJH</t>
  </si>
  <si>
    <t xml:space="preserve">us.eia.860m:69799-MG040</t>
  </si>
  <si>
    <t xml:space="preserve">prop_1M4HNJ1TCFAMVJ0YH922GEKPE</t>
  </si>
  <si>
    <t xml:space="preserve">us.eia.860m:69799-MG039</t>
  </si>
  <si>
    <t xml:space="preserve">prop_1M4HNJ1TDE5YS4ZEMRGYRB4KF</t>
  </si>
  <si>
    <t xml:space="preserve">us.eia.860m:69799-MG041</t>
  </si>
  <si>
    <t xml:space="preserve">prop_1M4HNJ1THEMHRZESSBXYMPTSK</t>
  </si>
  <si>
    <t xml:space="preserve">us.eia.860m:69799-MG042</t>
  </si>
  <si>
    <t xml:space="preserve">prop_1M4HNJ1TJEXBTYEB1QEEF7K90</t>
  </si>
  <si>
    <t xml:space="preserve">us.eia.860m:69799-MG043</t>
  </si>
  <si>
    <t xml:space="preserve">prop_1M4HNJ1TJFMQBP2YFVW4Q9MW6</t>
  </si>
  <si>
    <t xml:space="preserve">us.eia.860m:69799-MG044</t>
  </si>
  <si>
    <t xml:space="preserve">prop_1M4HNJ1TKE5M95SWMY07Z5Z53</t>
  </si>
  <si>
    <t xml:space="preserve">us.eia.860m:69799-MG046</t>
  </si>
  <si>
    <t xml:space="preserve">prop_1M4HNJ1TKF7J9CHC3HDY3JPQ7</t>
  </si>
  <si>
    <t xml:space="preserve">us.eia.860m:69799-MG045</t>
  </si>
  <si>
    <t xml:space="preserve">prop_1M4HNJ1TME3JSN039T7Q9W29Z</t>
  </si>
  <si>
    <t xml:space="preserve">us.eia.860m:69799-MG048</t>
  </si>
  <si>
    <t xml:space="preserve">prop_1M4HNJ1TME8SSXCP3PJANTJGP</t>
  </si>
  <si>
    <t xml:space="preserve">us.eia.860m:69799-MG047</t>
  </si>
  <si>
    <t xml:space="preserve">50 MW</t>
  </si>
  <si>
    <t xml:space="preserve">Permitted</t>
  </si>
  <si>
    <t xml:space="preserve">prop_1M4HNHZNAE8YS0FXPMNEC3V46</t>
  </si>
  <si>
    <t xml:space="preserve">us.eia.860m:69799-FBG01</t>
  </si>
  <si>
    <t xml:space="preserve">prop_1M4HNHZNBEEMAJRDMQY7J4AEC</t>
  </si>
  <si>
    <t xml:space="preserve">us.eia.860m:69799-FBG04</t>
  </si>
  <si>
    <t xml:space="preserve">prop_1M4HNHZNBFB1RH7X5K2ZX19P4</t>
  </si>
  <si>
    <t xml:space="preserve">us.eia.860m:69799-FBG03</t>
  </si>
  <si>
    <t xml:space="preserve">prop_1M4HNHZNBFW2BD6G5AEQF7MJR</t>
  </si>
  <si>
    <t xml:space="preserve">us.eia.860m:69799-FBG02</t>
  </si>
  <si>
    <t xml:space="preserve">prop_1M4HNHZNCE3DVR9BDDJX1GRSH</t>
  </si>
  <si>
    <t xml:space="preserve">us.eia.860m:69799-FBG06</t>
  </si>
  <si>
    <t xml:space="preserve">prop_1M4HNHZNCF1T8AKD7351CXX4Q</t>
  </si>
  <si>
    <t xml:space="preserve">us.eia.860m:69799-FBG05</t>
  </si>
  <si>
    <t xml:space="preserve">40 MW</t>
  </si>
  <si>
    <t xml:space="preserve">prop_1M4HNHZNDFEYAYRDWPFGM6JC3</t>
  </si>
  <si>
    <t xml:space="preserve">us.eia.860m:69799-G6B01</t>
  </si>
  <si>
    <t xml:space="preserve">prop_1M4HNHZNEFJCSKEX6MBPCKDTF</t>
  </si>
  <si>
    <t xml:space="preserve">us.eia.860m:69799-G6B03</t>
  </si>
  <si>
    <t xml:space="preserve">prop_1M4HNHZNEFZKAX0TPPN2KY2CW</t>
  </si>
  <si>
    <t xml:space="preserve">us.eia.860m:69799-G6B02</t>
  </si>
  <si>
    <t xml:space="preserve">18.9 MW</t>
  </si>
  <si>
    <t xml:space="preserve">prop_1M4HNHZNGFN8ANW4V931PS0VQ</t>
  </si>
  <si>
    <t xml:space="preserve">us.eia.860m:69799-TM001</t>
  </si>
  <si>
    <t xml:space="preserve">prop_1M4HNHZNHEWSTHKXFE116F2Q7</t>
  </si>
  <si>
    <t xml:space="preserve">us.eia.860m:69799-TM003</t>
  </si>
  <si>
    <t xml:space="preserve">prop_1M4HNHZNHFQ1BQ0A48JQ611MW</t>
  </si>
  <si>
    <t xml:space="preserve">us.eia.860m:69799-TM002</t>
  </si>
  <si>
    <t xml:space="preserve">prop_1M4HNHZNJF3BSV2R597FW0SVA</t>
  </si>
  <si>
    <t xml:space="preserve">us.eia.860m:69799-TM005</t>
  </si>
  <si>
    <t xml:space="preserve">prop_1M4HNHZNJFD8B9TSE1W06JJY8</t>
  </si>
  <si>
    <t xml:space="preserve">us.eia.860m:69799-TM004</t>
  </si>
  <si>
    <t xml:space="preserve">prop_1M4HNHZNJFX9R2MYNJF9JTTVS</t>
  </si>
  <si>
    <t xml:space="preserve">us.eia.860m:69799-TM006</t>
  </si>
  <si>
    <t xml:space="preserve">prop_1M4HNHZNKFJ78H9YHMS8NSJKY</t>
  </si>
  <si>
    <t xml:space="preserve">us.eia.860m:69799-TM007</t>
  </si>
  <si>
    <t xml:space="preserve">Red Butte Solar and Storage</t>
  </si>
  <si>
    <t xml:space="preserve">300 MW</t>
  </si>
  <si>
    <t xml:space="preserve">US-UT</t>
  </si>
  <si>
    <t xml:space="preserve">prop_1M4HNJ186EC88PZH9N7CQR50J</t>
  </si>
  <si>
    <t xml:space="preserve">us.eia.860m:68371-REBU</t>
  </si>
  <si>
    <t xml:space="preserve">prop_1M4HNJ186FCQRJJE63ZPG2ACP</t>
  </si>
  <si>
    <t xml:space="preserve">us.eia.860m:68371-REBU2</t>
  </si>
  <si>
    <t xml:space="preserve">Bellefield 2 Solar &amp; Energy Storage Farm</t>
  </si>
  <si>
    <t xml:space="preserve">500 MW</t>
  </si>
  <si>
    <t xml:space="preserve">prop_1M4HNHZ1EFPY9G729Q6RQ9HMQ</t>
  </si>
  <si>
    <t xml:space="preserve">us.eia.860m:64209-26SBA</t>
  </si>
  <si>
    <t xml:space="preserve">prop_1M4HNHZ6DFR0SNZFNGE90S5FF</t>
  </si>
  <si>
    <t xml:space="preserve">us.eia.860m:64209-26SBB</t>
  </si>
  <si>
    <t xml:space="preserve">Randall Lane Solar</t>
  </si>
  <si>
    <t xml:space="preserve">5 MW</t>
  </si>
  <si>
    <t xml:space="preserve">prop_1M4HNHZN2E8TSRG66PJ8Q0N7D</t>
  </si>
  <si>
    <t xml:space="preserve">us.eia.860m:68218-RANES</t>
  </si>
  <si>
    <t xml:space="preserve">prop_1M4HNHZN2FCCR0D9B99NPNWWP</t>
  </si>
  <si>
    <t xml:space="preserve">us.eia.860m:68218-RANPV</t>
  </si>
  <si>
    <t xml:space="preserve">Traceview Advanced Power Station</t>
  </si>
  <si>
    <t xml:space="preserve">477.7 MW</t>
  </si>
  <si>
    <t xml:space="preserve">US-MS</t>
  </si>
  <si>
    <t xml:space="preserve">prop_1M4HNJ13WEBASTQEP0EFFNC4Z</t>
  </si>
  <si>
    <t xml:space="preserve">us.eia.860m:70187-CT1</t>
  </si>
  <si>
    <t xml:space="preserve">341.7 MW</t>
  </si>
  <si>
    <t xml:space="preserve">prop_1M4HNJ13XFJ3R19Y0PDTMWHJ4</t>
  </si>
  <si>
    <t xml:space="preserve">us.eia.860m:70187-ST1</t>
  </si>
  <si>
    <t xml:space="preserve">McGrau Ford Battery Storage Facility</t>
  </si>
  <si>
    <t xml:space="preserve">265 MW</t>
  </si>
  <si>
    <t xml:space="preserve">US-GA</t>
  </si>
  <si>
    <t xml:space="preserve">prop_1M4HNHYZQEW9RKDWAPR07QX83</t>
  </si>
  <si>
    <t xml:space="preserve">us.eia.860m:68512-1</t>
  </si>
  <si>
    <t xml:space="preserve">prop_1M4HNHYZREYVV6YE23GVFRMBN</t>
  </si>
  <si>
    <t xml:space="preserve">us.eia.860m:68512-2</t>
  </si>
  <si>
    <t xml:space="preserve">Horseshoe Lake</t>
  </si>
  <si>
    <t xml:space="preserve">224 MW</t>
  </si>
  <si>
    <t xml:space="preserve">US-OK</t>
  </si>
  <si>
    <t xml:space="preserve">prop_1M4HNHZ4DE33AATQMS5ENH68Z</t>
  </si>
  <si>
    <t xml:space="preserve">us.eia.860m:2951-11</t>
  </si>
  <si>
    <t xml:space="preserve">prop_1M4HNHZ4DFRRTQ7EA7TKNTWEY</t>
  </si>
  <si>
    <t xml:space="preserve">us.eia.860m:2951-12</t>
  </si>
  <si>
    <t xml:space="preserve">prop_1M4HNJ175EQHR1A8K9X2CPB2K</t>
  </si>
  <si>
    <t xml:space="preserve">us.eia.860m:2951-14</t>
  </si>
  <si>
    <t xml:space="preserve">prop_1M4HNJ175ET8AQDYP629ABA6T</t>
  </si>
  <si>
    <t xml:space="preserve">us.eia.860m:2951-13</t>
  </si>
  <si>
    <t xml:space="preserve">Dutchman Solar generation and BESS</t>
  </si>
  <si>
    <t xml:space="preserve">499 MW</t>
  </si>
  <si>
    <t xml:space="preserve">US-WY</t>
  </si>
  <si>
    <t xml:space="preserve">prop_1M4HNJ18SE6BTGBMZMDAS4P5V</t>
  </si>
  <si>
    <t xml:space="preserve">us.eia.860m:68317-DUTC1</t>
  </si>
  <si>
    <t xml:space="preserve">prop_1M4HNJ18TE8ZBH6W142YFR9ZJ</t>
  </si>
  <si>
    <t xml:space="preserve">us.eia.860m:68317-DUTC2</t>
  </si>
  <si>
    <t xml:space="preserve">Homer City Generating Station</t>
  </si>
  <si>
    <t xml:space="preserve">360 MW</t>
  </si>
  <si>
    <t xml:space="preserve">US-PA</t>
  </si>
  <si>
    <t xml:space="preserve">prop_1M4HNJ12TE3Y8N36W6B5Q6471</t>
  </si>
  <si>
    <t xml:space="preserve">us.eia.860m:3122-CT5</t>
  </si>
  <si>
    <t xml:space="preserve">prop_1M4HNJ12VFHXATVWW6K1X7RHY</t>
  </si>
  <si>
    <t xml:space="preserve">us.eia.860m:3122-CT6</t>
  </si>
  <si>
    <t xml:space="preserve">prop_1M4HNJ14PFT793TH00BVHER3V</t>
  </si>
  <si>
    <t xml:space="preserve">us.eia.860m:3122-CT2</t>
  </si>
  <si>
    <t xml:space="preserve">prop_1M4HNJ14QFQ6B0DY0DZTNTA8N</t>
  </si>
  <si>
    <t xml:space="preserve">us.eia.860m:3122-CT3</t>
  </si>
  <si>
    <t xml:space="preserve">prop_1M4HNJ17GFDX8JD39WQV8D3HD</t>
  </si>
  <si>
    <t xml:space="preserve">us.eia.860m:3122-CT7</t>
  </si>
  <si>
    <t xml:space="preserve">prop_1M4HNJ195EQBA9WG54BQEJ4WN</t>
  </si>
  <si>
    <t xml:space="preserve">us.eia.860m:3122-CT4</t>
  </si>
  <si>
    <t xml:space="preserve">prop_1M4HNJ1P0EKDSMPD6J0T9F1VX</t>
  </si>
  <si>
    <t xml:space="preserve">us.eia.860m:3122-CT1</t>
  </si>
  <si>
    <t xml:space="preserve">268 MW</t>
  </si>
  <si>
    <t xml:space="preserve">prop_1M4HNJ12SE0RT65H4Q88Z5GKP</t>
  </si>
  <si>
    <t xml:space="preserve">us.eia.860m:3122-CA5</t>
  </si>
  <si>
    <t xml:space="preserve">prop_1M4HNJ12TEC0R4M5F115AFFZK</t>
  </si>
  <si>
    <t xml:space="preserve">us.eia.860m:3122-CA6</t>
  </si>
  <si>
    <t xml:space="preserve">prop_1M4HNJ14NFJEACW2J6SFEGDSJ</t>
  </si>
  <si>
    <t xml:space="preserve">us.eia.860m:3122-CA2</t>
  </si>
  <si>
    <t xml:space="preserve">prop_1M4HNJ14PFW9B6S8QXPJBA4H0</t>
  </si>
  <si>
    <t xml:space="preserve">us.eia.860m:3122-CA3</t>
  </si>
  <si>
    <t xml:space="preserve">prop_1M4HNJ17GE92RM37DNHS89D2Z</t>
  </si>
  <si>
    <t xml:space="preserve">us.eia.860m:3122-CA7</t>
  </si>
  <si>
    <t xml:space="preserve">prop_1M4HNJ194FFCA6JKTJ8WSEM67</t>
  </si>
  <si>
    <t xml:space="preserve">us.eia.860m:3122-CA4</t>
  </si>
  <si>
    <t xml:space="preserve">prop_1M4HNJ1P0FZESXCNH33TM5A18</t>
  </si>
  <si>
    <t xml:space="preserve">us.eia.860m:3122-CA1</t>
  </si>
  <si>
    <t xml:space="preserve">Colonel Charles D. Maynard Project</t>
  </si>
  <si>
    <t xml:space="preserve">8.6 MW</t>
  </si>
  <si>
    <t xml:space="preserve">hydro</t>
  </si>
  <si>
    <t xml:space="preserve">US-AR</t>
  </si>
  <si>
    <t xml:space="preserve">prop_1M4HNJ1VGFCKBJ665813J8999</t>
  </si>
  <si>
    <t xml:space="preserve">us.eia.860m:69695-CCM-1</t>
  </si>
  <si>
    <t xml:space="preserve">prop_1M4HNJ1VHE30RMB044WZAS0V7</t>
  </si>
  <si>
    <t xml:space="preserve">us.eia.860m:69695-CCM-2</t>
  </si>
  <si>
    <t xml:space="preserve">prop_1M4HNJ1VHFVKSRGEZVFDKQVSM</t>
  </si>
  <si>
    <t xml:space="preserve">us.eia.860m:69695-CCM-3</t>
  </si>
  <si>
    <t xml:space="preserve">CA Bloomington 2551 S Lilac Avenue Micro</t>
  </si>
  <si>
    <t xml:space="preserve">1.5 MW</t>
  </si>
  <si>
    <t xml:space="preserve">prop_1M4HNHZ6FE5095CPDG9MFVD0Z</t>
  </si>
  <si>
    <t xml:space="preserve">us.eia.860m:66475-18263</t>
  </si>
  <si>
    <t xml:space="preserve">prop_1M4HNHZ6GFYP905R9J21SC5G8</t>
  </si>
  <si>
    <t xml:space="preserve">us.eia.860m:66475-B8263</t>
  </si>
  <si>
    <t xml:space="preserve">Zeta Solar &amp; Storage</t>
  </si>
  <si>
    <t xml:space="preserve">75 MW</t>
  </si>
  <si>
    <t xml:space="preserve">prop_1M4HNHZQYEKVVNB05BRVDQATX</t>
  </si>
  <si>
    <t xml:space="preserve">us.eia.860m:67676-GEN01</t>
  </si>
  <si>
    <t xml:space="preserve">prop_1M4HNHZQZF7WV54KWVQJV9R1A</t>
  </si>
  <si>
    <t xml:space="preserve">us.eia.860m:67676-GEN02</t>
  </si>
  <si>
    <t xml:space="preserve">Robeson Solar I</t>
  </si>
  <si>
    <t xml:space="preserve">80 MW</t>
  </si>
  <si>
    <t xml:space="preserve">US-NC</t>
  </si>
  <si>
    <t xml:space="preserve">prop_1M4HNJ160F8TVCMEPB0FFMD2N</t>
  </si>
  <si>
    <t xml:space="preserve">us.eia.860m:68043-ROBES</t>
  </si>
  <si>
    <t xml:space="preserve">28 MW</t>
  </si>
  <si>
    <t xml:space="preserve">prop_1M4HNJ160FHPRRCTXNEEXSG5M</t>
  </si>
  <si>
    <t xml:space="preserve">us.eia.860m:68043-ROBSS</t>
  </si>
  <si>
    <t xml:space="preserve">NISA Electric Generation Project</t>
  </si>
  <si>
    <t xml:space="preserve">220.1 MW</t>
  </si>
  <si>
    <t xml:space="preserve">US-NY</t>
  </si>
  <si>
    <t xml:space="preserve">prop_1M4HNJ14AE9RANMX88CWCAK4M</t>
  </si>
  <si>
    <t xml:space="preserve">us.eia.860m:61331-BA2</t>
  </si>
  <si>
    <t xml:space="preserve">79.9 MW</t>
  </si>
  <si>
    <t xml:space="preserve">prop_1M4HNJ149FESVX8NCGP0CE811</t>
  </si>
  <si>
    <t xml:space="preserve">us.eia.860m:61331-BA1</t>
  </si>
  <si>
    <t xml:space="preserve">Pacifico Power Lancaster 01</t>
  </si>
  <si>
    <t xml:space="preserve">5.9 MW</t>
  </si>
  <si>
    <t xml:space="preserve">prop_1M4HNHZ14FPFV8ZW4SXYKQE1R</t>
  </si>
  <si>
    <t xml:space="preserve">us.eia.860m:70388-LANS</t>
  </si>
  <si>
    <t xml:space="preserve">0.5 MW</t>
  </si>
  <si>
    <t xml:space="preserve">prop_1M4HNHZ13EK2TMY00BA66H8H1</t>
  </si>
  <si>
    <t xml:space="preserve">us.eia.860m:70388-LANB</t>
  </si>
  <si>
    <t xml:space="preserve">prop_1M4HNJ12CE79TT9FJK1RS7ABC</t>
  </si>
  <si>
    <t xml:space="preserve">us.eia.860m:67250-ALIPV</t>
  </si>
  <si>
    <t xml:space="preserve">prop_1M4HNJ12CE87S0J57NREGW921</t>
  </si>
  <si>
    <t xml:space="preserve">us.eia.860m:67250-ALIBS</t>
  </si>
  <si>
    <t xml:space="preserve">Vast Sands Power</t>
  </si>
  <si>
    <t xml:space="preserve">440 MW</t>
  </si>
  <si>
    <t xml:space="preserve">prop_1M4HNHZQAEVNBAPAN87XNN7Z9</t>
  </si>
  <si>
    <t xml:space="preserve">us.eia.860m:69689-CT11</t>
  </si>
  <si>
    <t xml:space="preserve">prop_1M4HNHZQAFMXT2HKQV8PTVWJD</t>
  </si>
  <si>
    <t xml:space="preserve">us.eia.860m:69689-CT12</t>
  </si>
  <si>
    <t xml:space="preserve">Rawhide</t>
  </si>
  <si>
    <t xml:space="preserve">44.6 MW</t>
  </si>
  <si>
    <t xml:space="preserve">US-CO</t>
  </si>
  <si>
    <t xml:space="preserve">prop_1M4HNJ0BJEH79SMRKCTH3R3KR</t>
  </si>
  <si>
    <t xml:space="preserve">us.eia.860m:6761-H</t>
  </si>
  <si>
    <t xml:space="preserve">prop_1M4HNJ0BJETQSR678EX8BFSAS</t>
  </si>
  <si>
    <t xml:space="preserve">us.eia.860m:6761-G</t>
  </si>
  <si>
    <t xml:space="preserve">prop_1M4HNJ0BKECPRR90ZR24J3WGH</t>
  </si>
  <si>
    <t xml:space="preserve">us.eia.860m:6761-LM5</t>
  </si>
  <si>
    <t xml:space="preserve">prop_1M4HNJ0BKENMRC6WWE32BW8P1</t>
  </si>
  <si>
    <t xml:space="preserve">us.eia.860m:6761-LM4</t>
  </si>
  <si>
    <t xml:space="preserve">prop_1M4HNJ0BKFHTSJ6ZP6HAM5NR2</t>
  </si>
  <si>
    <t xml:space="preserve">us.eia.860m:6761-LM3</t>
  </si>
  <si>
    <t xml:space="preserve">Cherry</t>
  </si>
  <si>
    <t xml:space="preserve">249.7 MW</t>
  </si>
  <si>
    <t xml:space="preserve">prop_1M4HNHZRVF21B5KDZQM75YRHB</t>
  </si>
  <si>
    <t xml:space="preserve">us.eia.860m:63850-CHERY</t>
  </si>
  <si>
    <t xml:space="preserve">110 MW</t>
  </si>
  <si>
    <t xml:space="preserve">prop_1M4HNHZRTE6R90FKW1XZ75M9H</t>
  </si>
  <si>
    <t xml:space="preserve">us.eia.860m:63850-BESS2</t>
  </si>
  <si>
    <t xml:space="preserve">Vichy Solar</t>
  </si>
  <si>
    <t xml:space="preserve">US-MO</t>
  </si>
  <si>
    <t xml:space="preserve">prop_1M4HNJ099F8NB01Y79ZYPHNXJ</t>
  </si>
  <si>
    <t xml:space="preserve">us.eia.860m:68036-VCHSB</t>
  </si>
  <si>
    <t xml:space="preserve">prop_1M4HNJ09AEZHAWRNKDB542SS1</t>
  </si>
  <si>
    <t xml:space="preserve">us.eia.860m:68036-VCHSR</t>
  </si>
  <si>
    <t xml:space="preserve">Solstice Solar LLC</t>
  </si>
  <si>
    <t xml:space="preserve">prop_1M4HNJ1PZEBS8G43TAG8RAVM5</t>
  </si>
  <si>
    <t xml:space="preserve">us.eia.860m:70186-SOLBS</t>
  </si>
  <si>
    <t xml:space="preserve">prop_1M4HNJ1Q0EW0V6987BYF9KDP9</t>
  </si>
  <si>
    <t xml:space="preserve">us.eia.860m:70186-SOLPV</t>
  </si>
  <si>
    <t xml:space="preserve">Hornet Solar II (TX) (Hybrid)</t>
  </si>
  <si>
    <t xml:space="preserve">prop_1M4HNJ0BTFSQTYEFXX2GECNJK</t>
  </si>
  <si>
    <t xml:space="preserve">us.eia.860m:67985-HRNT2</t>
  </si>
  <si>
    <t xml:space="preserve">prop_1M4HNJ0BVEMV8ABGQ1SWY3FXJ</t>
  </si>
  <si>
    <t xml:space="preserve">us.eia.860m:67985-HRT2B</t>
  </si>
  <si>
    <t xml:space="preserve">100 MW</t>
  </si>
  <si>
    <t xml:space="preserve">US-NM</t>
  </si>
  <si>
    <t xml:space="preserve">prop_1M4HNJ03XF2NS52SS9CH75BJF</t>
  </si>
  <si>
    <t xml:space="preserve">us.eia.860m:69966-FMM</t>
  </si>
  <si>
    <t xml:space="preserve">prop_1M4HNJ03YF3STETQY9RF9YPMV</t>
  </si>
  <si>
    <t xml:space="preserve">us.eia.860m:69966-FMMS</t>
  </si>
  <si>
    <t xml:space="preserve">CO Bar D Solar and BESS</t>
  </si>
  <si>
    <t xml:space="preserve">394 MW</t>
  </si>
  <si>
    <t xml:space="preserve">prop_1M4HNJ11MEYCSWCBR4R8BY7H2</t>
  </si>
  <si>
    <t xml:space="preserve">us.eia.860m:69057-CBDBA</t>
  </si>
  <si>
    <t xml:space="preserve">prop_1M4HNJ11PFVYTS79QCGM11SAF</t>
  </si>
  <si>
    <t xml:space="preserve">us.eia.860m:69057-CBDPV</t>
  </si>
  <si>
    <t xml:space="preserve">Bishop Ranch - BR 3-GG</t>
  </si>
  <si>
    <t xml:space="preserve">1.1 MW</t>
  </si>
  <si>
    <t xml:space="preserve">prop_1M4HNJ03RFT5AZBESAA460JSB</t>
  </si>
  <si>
    <t xml:space="preserve">us.eia.860m:69706-4149C</t>
  </si>
  <si>
    <t xml:space="preserve">0.6 MW</t>
  </si>
  <si>
    <t xml:space="preserve">prop_1M4HNJ03RF4PAJ2BXGQ9FVBPS</t>
  </si>
  <si>
    <t xml:space="preserve">us.eia.860m:69706-4149B</t>
  </si>
  <si>
    <t xml:space="preserve">0.2 MW</t>
  </si>
  <si>
    <t xml:space="preserve">prop_1M4HNJ03SER99XN4C3R1VHH1Z</t>
  </si>
  <si>
    <t xml:space="preserve">us.eia.860m:69706-4149R</t>
  </si>
  <si>
    <t xml:space="preserve">Sienna Solar Farm</t>
  </si>
  <si>
    <t xml:space="preserve">prop_1M4HNJ15GEETB6H88VCY5PMP8</t>
  </si>
  <si>
    <t xml:space="preserve">us.eia.860m:64632-99MT8</t>
  </si>
  <si>
    <t xml:space="preserve">prop_1M4HNJ15HFFSAPWE712NXX091</t>
  </si>
  <si>
    <t xml:space="preserve">us.eia.860m:64632-99MTB</t>
  </si>
  <si>
    <t xml:space="preserve">FRP Miller Solar</t>
  </si>
  <si>
    <t xml:space="preserve">74.5 MW</t>
  </si>
  <si>
    <t xml:space="preserve">US-FL</t>
  </si>
  <si>
    <t xml:space="preserve">prop_1M4HNHZJXE3Q8A9M32SY0KZ5C</t>
  </si>
  <si>
    <t xml:space="preserve">us.eia.860m:69626-SMF</t>
  </si>
  <si>
    <t xml:space="preserve">prop_1M4HNHZJXF6XTN6SKSEGH43BH</t>
  </si>
  <si>
    <t xml:space="preserve">us.eia.860m:69626-BMF</t>
  </si>
  <si>
    <t xml:space="preserve">Clear Fork Creek Solar and BESS SLF</t>
  </si>
  <si>
    <t xml:space="preserve">600 MW</t>
  </si>
  <si>
    <t xml:space="preserve">prop_1M4HNHZMSFTEAQAVW3MG1MYR3</t>
  </si>
  <si>
    <t xml:space="preserve">us.eia.860m:65842-CFCBS</t>
  </si>
  <si>
    <t xml:space="preserve">prop_1M4HNHZMTFT6AZHE8K5MMJQV1</t>
  </si>
  <si>
    <t xml:space="preserve">us.eia.860m:65842-CFCPV</t>
  </si>
  <si>
    <t xml:space="preserve">Cuchillas PV and BESS</t>
  </si>
  <si>
    <t xml:space="preserve">306.9 MW</t>
  </si>
  <si>
    <t xml:space="preserve">prop_1M4HNJ15YEXZB8M7DW3FQBQ0V</t>
  </si>
  <si>
    <t xml:space="preserve">us.eia.860m:67776-GRS2B</t>
  </si>
  <si>
    <t xml:space="preserve">305.6 MW</t>
  </si>
  <si>
    <t xml:space="preserve">prop_1M4HNJ15ZFSATEHDKHTHV12BD</t>
  </si>
  <si>
    <t xml:space="preserve">us.eia.860m:67776-GRS2P</t>
  </si>
  <si>
    <t xml:space="preserve">Grand Valley Solar Generation and BESS</t>
  </si>
  <si>
    <t xml:space="preserve">prop_1M4HNJ1NWEDP8SSQHH46J9K9W</t>
  </si>
  <si>
    <t xml:space="preserve">us.eia.860m:68343-GRVA1</t>
  </si>
  <si>
    <t xml:space="preserve">prop_1M4HNJ1NWFKVRVFNESZYQQM5E</t>
  </si>
  <si>
    <t xml:space="preserve">us.eia.860m:68343-GRVA2</t>
  </si>
  <si>
    <t xml:space="preserve">prop_1M4HNJ1PEFEJ8J5GEG7BMYB52</t>
  </si>
  <si>
    <t xml:space="preserve">us.eia.860m:65808-SVEC</t>
  </si>
  <si>
    <t xml:space="preserve">prop_1M4HNJ1PDFPNARMPG0GEQHC7M</t>
  </si>
  <si>
    <t xml:space="preserve">us.eia.860m:65808-BSVEC</t>
  </si>
  <si>
    <t xml:space="preserve">Fish Lake Geothermal</t>
  </si>
  <si>
    <t xml:space="preserve">9 MW</t>
  </si>
  <si>
    <t xml:space="preserve">geothermal</t>
  </si>
  <si>
    <t xml:space="preserve">prop_1M4HNJ04VE2BA2N0D8QWA6CNT</t>
  </si>
  <si>
    <t xml:space="preserve">us.eia.860m:66618-FL5</t>
  </si>
  <si>
    <t xml:space="preserve">6.2 MW</t>
  </si>
  <si>
    <t xml:space="preserve">prop_1M4HNJ04VE8AB6MB9VS0F88ET</t>
  </si>
  <si>
    <t xml:space="preserve">us.eia.860m:66618-FL4</t>
  </si>
  <si>
    <t xml:space="preserve">4.7 MW</t>
  </si>
  <si>
    <t xml:space="preserve">prop_1M4HNJ04VF2VBPT2PDJE1MJ3D</t>
  </si>
  <si>
    <t xml:space="preserve">us.eia.860m:66618-FL3</t>
  </si>
  <si>
    <t xml:space="preserve">3.3 MW</t>
  </si>
  <si>
    <t xml:space="preserve">prop_1M4HNJ04TEC9TC3851J3CSZ9E</t>
  </si>
  <si>
    <t xml:space="preserve">us.eia.860m:66618-FL1</t>
  </si>
  <si>
    <t xml:space="preserve">prop_1M4HNJ04TFPSBNJFNH5EP4442</t>
  </si>
  <si>
    <t xml:space="preserve">us.eia.860m:66618-FL2</t>
  </si>
  <si>
    <t xml:space="preserve">Lupinus Solar 1, LLC</t>
  </si>
  <si>
    <t xml:space="preserve">165 MW</t>
  </si>
  <si>
    <t xml:space="preserve">prop_1M4HNJ04YF7JTQM8SJ0PRSFRZ</t>
  </si>
  <si>
    <t xml:space="preserve">us.eia.860m:66895-LP1PV</t>
  </si>
  <si>
    <t xml:space="preserve">83 MW</t>
  </si>
  <si>
    <t xml:space="preserve">prop_1M4HNJ04YEWCS12G54MGRERBW</t>
  </si>
  <si>
    <t xml:space="preserve">us.eia.860m:66895-LP1BA</t>
  </si>
  <si>
    <t xml:space="preserve">Lange Generating Station</t>
  </si>
  <si>
    <t xml:space="preserve">16.6 MW</t>
  </si>
  <si>
    <t xml:space="preserve">gas, reciprocating engine</t>
  </si>
  <si>
    <t xml:space="preserve">US-SD</t>
  </si>
  <si>
    <t xml:space="preserve">prop_1M4HNHZH4EEJAMQVS721K3CVR</t>
  </si>
  <si>
    <t xml:space="preserve">us.eia.860m:55478-IC02</t>
  </si>
  <si>
    <t xml:space="preserve">prop_1M4HNHZH4FFFV6Z31K85EMV96</t>
  </si>
  <si>
    <t xml:space="preserve">us.eia.860m:55478-IC01</t>
  </si>
  <si>
    <t xml:space="preserve">prop_1M4HNHZH5E879K9ZRHXFGA1ZK</t>
  </si>
  <si>
    <t xml:space="preserve">us.eia.860m:55478-IC04</t>
  </si>
  <si>
    <t xml:space="preserve">prop_1M4HNHZH5FQ4VJ4D68M1NTDYW</t>
  </si>
  <si>
    <t xml:space="preserve">us.eia.860m:55478-IC03</t>
  </si>
  <si>
    <t xml:space="preserve">prop_1M4HNHZH6E6R97MG8T86X2VEG</t>
  </si>
  <si>
    <t xml:space="preserve">us.eia.860m:55478-IC05</t>
  </si>
  <si>
    <t xml:space="preserve">prop_1M4HNHZH9E729CQB6ZXAKJ4FG</t>
  </si>
  <si>
    <t xml:space="preserve">us.eia.860m:55478-IC06</t>
  </si>
  <si>
    <t xml:space="preserve">NTEC Gas Plant</t>
  </si>
  <si>
    <t xml:space="preserve">60.5 MW</t>
  </si>
  <si>
    <t xml:space="preserve">prop_1M4HNJ11ZFY58C0X5PRSTGKF7</t>
  </si>
  <si>
    <t xml:space="preserve">us.eia.860m:66478-GEN1</t>
  </si>
  <si>
    <t xml:space="preserve">prop_1M4HNJ120FE68Z34K7YP53RR9</t>
  </si>
  <si>
    <t xml:space="preserve">us.eia.860m:66478-GEN10</t>
  </si>
  <si>
    <t xml:space="preserve">prop_1M4HNJ120FS7AJN12K2QWZMCV</t>
  </si>
  <si>
    <t xml:space="preserve">us.eia.860m:66478-GEN11</t>
  </si>
  <si>
    <t xml:space="preserve">prop_1M4HNJ121FVRT7X9K3B5WHJWN</t>
  </si>
  <si>
    <t xml:space="preserve">us.eia.860m:66478-GEN12</t>
  </si>
  <si>
    <t xml:space="preserve">prop_1M4HNJ122FN3T2SGCTTYFJ06B</t>
  </si>
  <si>
    <t xml:space="preserve">us.eia.860m:66478-GEN13</t>
  </si>
  <si>
    <t xml:space="preserve">prop_1M4HNJ123E4JR7TM58F0D1VFN</t>
  </si>
  <si>
    <t xml:space="preserve">us.eia.860m:66478-GEN15</t>
  </si>
  <si>
    <t xml:space="preserve">prop_1M4HNJ123F7HABNP6WVQPWCA4</t>
  </si>
  <si>
    <t xml:space="preserve">us.eia.860m:66478-GEN14</t>
  </si>
  <si>
    <t xml:space="preserve">prop_1M4HNJ124EWETFK5XYFZJG6WC</t>
  </si>
  <si>
    <t xml:space="preserve">us.eia.860m:66478-GEN16</t>
  </si>
  <si>
    <t xml:space="preserve">prop_1M4HNJ125EZR8GF7J13RBXVY1</t>
  </si>
  <si>
    <t xml:space="preserve">us.eia.860m:66478-GEN17</t>
  </si>
  <si>
    <t xml:space="preserve">prop_1M4HNJ126E2J8M54Y9JRXV10A</t>
  </si>
  <si>
    <t xml:space="preserve">us.eia.860m:66478-GEN2</t>
  </si>
  <si>
    <t xml:space="preserve">prop_1M4HNJ126EN4B5Q31P0GRE085</t>
  </si>
  <si>
    <t xml:space="preserve">us.eia.860m:66478-GEN18</t>
  </si>
  <si>
    <t xml:space="preserve">prop_1M4HNJ127EHDSCXPF94BC84HR</t>
  </si>
  <si>
    <t xml:space="preserve">us.eia.860m:66478-GEN3</t>
  </si>
  <si>
    <t xml:space="preserve">prop_1M4HNJ128F9D8QJ6T95DSXTB6</t>
  </si>
  <si>
    <t xml:space="preserve">us.eia.860m:66478-GEN4</t>
  </si>
  <si>
    <t xml:space="preserve">prop_1M4HNJ128FPCVT1WSEAQPZJ3M</t>
  </si>
  <si>
    <t xml:space="preserve">us.eia.860m:66478-GEN5</t>
  </si>
  <si>
    <t xml:space="preserve">prop_1M4HNJ129FDTA6X8ZTME4QCF1</t>
  </si>
  <si>
    <t xml:space="preserve">us.eia.860m:66478-GEN6</t>
  </si>
  <si>
    <t xml:space="preserve">prop_1M4HNJ12AEWATAM96DNM387C2</t>
  </si>
  <si>
    <t xml:space="preserve">us.eia.860m:66478-GEN7</t>
  </si>
  <si>
    <t xml:space="preserve">prop_1M4HNJ12BE8HVN2401EZNT30B</t>
  </si>
  <si>
    <t xml:space="preserve">us.eia.860m:66478-GEN9</t>
  </si>
  <si>
    <t xml:space="preserve">prop_1M4HNJ12BEMAAW9JX05F5AREX</t>
  </si>
  <si>
    <t xml:space="preserve">us.eia.860m:66478-GEN8</t>
  </si>
  <si>
    <t xml:space="preserve">Princeton Road Station</t>
  </si>
  <si>
    <t xml:space="preserve">265.4 MW</t>
  </si>
  <si>
    <t xml:space="preserve">US-NE</t>
  </si>
  <si>
    <t xml:space="preserve">prop_1M4HNJ1PYE8ER3RS4B9ZHFCCK</t>
  </si>
  <si>
    <t xml:space="preserve">us.eia.860m:69808-CT1</t>
  </si>
  <si>
    <t xml:space="preserve">prop_1M4HNJ1PZE20B8GWAGNH3BHJ1</t>
  </si>
  <si>
    <t xml:space="preserve">us.eia.860m:69808-CT2</t>
  </si>
  <si>
    <t xml:space="preserve">18.1 MW</t>
  </si>
  <si>
    <t xml:space="preserve">prop_1M4HNJ18XEZ38M28G354JNQ12</t>
  </si>
  <si>
    <t xml:space="preserve">us.eia.860m:69808-R01</t>
  </si>
  <si>
    <t xml:space="preserve">prop_1M4HNJ18YFF1TSQNED4XQXS08</t>
  </si>
  <si>
    <t xml:space="preserve">us.eia.860m:69808-R02</t>
  </si>
  <si>
    <t xml:space="preserve">prop_1M4HNJ18YFX29WRBXKZ3NDMJH</t>
  </si>
  <si>
    <t xml:space="preserve">us.eia.860m:69808-R03</t>
  </si>
  <si>
    <t xml:space="preserve">prop_1M4HNJ18ZEW5S04DCXZD68NRJ</t>
  </si>
  <si>
    <t xml:space="preserve">us.eia.860m:69808-R05</t>
  </si>
  <si>
    <t xml:space="preserve">prop_1M4HNJ18ZF439T6ZW683SVKD3</t>
  </si>
  <si>
    <t xml:space="preserve">us.eia.860m:69808-R06</t>
  </si>
  <si>
    <t xml:space="preserve">prop_1M4HNJ18ZF7ST8NHY55D19SPG</t>
  </si>
  <si>
    <t xml:space="preserve">us.eia.860m:69808-R04</t>
  </si>
  <si>
    <t xml:space="preserve">prop_1M4HNJ190E708A53151148114</t>
  </si>
  <si>
    <t xml:space="preserve">us.eia.860m:69808-R07</t>
  </si>
  <si>
    <t xml:space="preserve">prop_1M4HNJ190EJJRKW0ARJ161S32</t>
  </si>
  <si>
    <t xml:space="preserve">us.eia.860m:69808-R08</t>
  </si>
  <si>
    <t xml:space="preserve">prop_1M4HNJ191ES4BWXXJZAN2NY5H</t>
  </si>
  <si>
    <t xml:space="preserve">us.eia.860m:69808-R10</t>
  </si>
  <si>
    <t xml:space="preserve">prop_1M4HNJ191F52AFMCTDRXAB65P</t>
  </si>
  <si>
    <t xml:space="preserve">us.eia.860m:69808-R09</t>
  </si>
  <si>
    <t xml:space="preserve">prop_1M4HNJ192FC1BG1D92J0SZGE8</t>
  </si>
  <si>
    <t xml:space="preserve">us.eia.860m:69808-R12</t>
  </si>
  <si>
    <t xml:space="preserve">prop_1M4HNJ192FVMTW95QRKB2K5SH</t>
  </si>
  <si>
    <t xml:space="preserve">us.eia.860m:69808-R11</t>
  </si>
  <si>
    <t xml:space="preserve">Grayson</t>
  </si>
  <si>
    <t xml:space="preserve">prop_1M4HNHZ62E3KVEA72JFJNARZ4</t>
  </si>
  <si>
    <t xml:space="preserve">us.eia.860m:377-10</t>
  </si>
  <si>
    <t xml:space="preserve">18.8 MW</t>
  </si>
  <si>
    <t xml:space="preserve">prop_1M4HNHZ63EJJ89P72F16X7CM1</t>
  </si>
  <si>
    <t xml:space="preserve">us.eia.860m:377-12</t>
  </si>
  <si>
    <t xml:space="preserve">prop_1M4HNHZ63FW1RCZH62MZ9B1JB</t>
  </si>
  <si>
    <t xml:space="preserve">us.eia.860m:377-11</t>
  </si>
  <si>
    <t xml:space="preserve">prop_1M4HNHZ64FB2VJ2JDFYTYVK5Z</t>
  </si>
  <si>
    <t xml:space="preserve">us.eia.860m:377-13</t>
  </si>
  <si>
    <t xml:space="preserve">Coyanosa Gas</t>
  </si>
  <si>
    <t xml:space="preserve">2.5 MW</t>
  </si>
  <si>
    <t xml:space="preserve">prop_1M4HNHZJFEJHRJBYE6XW0HTCE</t>
  </si>
  <si>
    <t xml:space="preserve">us.eia.860m:69268-COYA1</t>
  </si>
  <si>
    <t xml:space="preserve">prop_1M4HNHZJFFR1RGN396YZEVPQN</t>
  </si>
  <si>
    <t xml:space="preserve">us.eia.860m:69268-COYA2</t>
  </si>
  <si>
    <t xml:space="preserve">prop_1M4HNHZJGE62T73E597TRG26E</t>
  </si>
  <si>
    <t xml:space="preserve">us.eia.860m:69268-COYA4</t>
  </si>
  <si>
    <t xml:space="preserve">prop_1M4HNHZJGEFR87S36REX19XEE</t>
  </si>
  <si>
    <t xml:space="preserve">us.eia.860m:69268-COYA3</t>
  </si>
  <si>
    <t xml:space="preserve">Darden III Solar</t>
  </si>
  <si>
    <t xml:space="preserve">342.7 MW</t>
  </si>
  <si>
    <t xml:space="preserve">prop_1M4HNJ10CEWNS71X5PVR3DC7D</t>
  </si>
  <si>
    <t xml:space="preserve">us.eia.860m:69663-IPD3S</t>
  </si>
  <si>
    <t xml:space="preserve">303.7 MW</t>
  </si>
  <si>
    <t xml:space="preserve">prop_1M4HNJ10CEW094K1ZY93C9ZSW</t>
  </si>
  <si>
    <t xml:space="preserve">us.eia.860m:69663-IPD3B</t>
  </si>
  <si>
    <t xml:space="preserve">Sienna 2 Solar and Storage Project</t>
  </si>
  <si>
    <t xml:space="preserve">55 MW</t>
  </si>
  <si>
    <t xml:space="preserve">prop_1M4HNJ17JFN1TD3Y95MYGR33B</t>
  </si>
  <si>
    <t xml:space="preserve">us.eia.860m:68486-44STA</t>
  </si>
  <si>
    <t xml:space="preserve">prop_1M4HNJ17KEJ29AVSJ2EAVYZ87</t>
  </si>
  <si>
    <t xml:space="preserve">us.eia.860m:68486-44STB</t>
  </si>
  <si>
    <t xml:space="preserve">NL NY- Pulaski</t>
  </si>
  <si>
    <t xml:space="preserve">prop_1M4HNHZ0GFJFSNSQHV0EJYPPE</t>
  </si>
  <si>
    <t xml:space="preserve">us.eia.860m:69592-PSKBS</t>
  </si>
  <si>
    <t xml:space="preserve">prop_1M4HNHZ0HFVSA7XPY18XB5DGV</t>
  </si>
  <si>
    <t xml:space="preserve">us.eia.860m:69592-PSKPV</t>
  </si>
  <si>
    <t xml:space="preserve">Kingston</t>
  </si>
  <si>
    <t xml:space="preserve">454.8 MW</t>
  </si>
  <si>
    <t xml:space="preserve">US-TN</t>
  </si>
  <si>
    <t xml:space="preserve">prop_1M4HNJ07EFDDRHFVMWKE54CVC</t>
  </si>
  <si>
    <t xml:space="preserve">us.eia.860m:3407-CTG1</t>
  </si>
  <si>
    <t xml:space="preserve">323 MW</t>
  </si>
  <si>
    <t xml:space="preserve">prop_1M4HNJ07NFBWBY7ZC787M9T9J</t>
  </si>
  <si>
    <t xml:space="preserve">us.eia.860m:3407-STG1</t>
  </si>
  <si>
    <t xml:space="preserve">65.8 MW</t>
  </si>
  <si>
    <t xml:space="preserve">prop_1M4HNJ07EE5YSQDYQCYKCX810</t>
  </si>
  <si>
    <t xml:space="preserve">us.eia.860m:3407-G1</t>
  </si>
  <si>
    <t xml:space="preserve">prop_1M4HNJ07FEK5AWP0PM1Q933WX</t>
  </si>
  <si>
    <t xml:space="preserve">us.eia.860m:3407-G10</t>
  </si>
  <si>
    <t xml:space="preserve">prop_1M4HNJ07FFA6R34AGR1NY0687</t>
  </si>
  <si>
    <t xml:space="preserve">us.eia.860m:3407-G11</t>
  </si>
  <si>
    <t xml:space="preserve">prop_1M4HNJ07FFQ199KMQ2A53E2TT</t>
  </si>
  <si>
    <t xml:space="preserve">us.eia.860m:3407-G12</t>
  </si>
  <si>
    <t xml:space="preserve">prop_1M4HNJ07GEM0TS7V5VS6QQR3Z</t>
  </si>
  <si>
    <t xml:space="preserve">us.eia.860m:3407-G14</t>
  </si>
  <si>
    <t xml:space="preserve">prop_1M4HNJ07GEYS8TAJXEDKRTD3G</t>
  </si>
  <si>
    <t xml:space="preserve">us.eia.860m:3407-G13</t>
  </si>
  <si>
    <t xml:space="preserve">prop_1M4HNJ07HEC9T15Y8X9E3D8HM</t>
  </si>
  <si>
    <t xml:space="preserve">us.eia.860m:3407-G16</t>
  </si>
  <si>
    <t xml:space="preserve">prop_1M4HNJ07HF9ET0CFGG15Z1G9K</t>
  </si>
  <si>
    <t xml:space="preserve">us.eia.860m:3407-G15</t>
  </si>
  <si>
    <t xml:space="preserve">prop_1M4HNJ07JFAV9YBAXFCSJVQ9Z</t>
  </si>
  <si>
    <t xml:space="preserve">us.eia.860m:3407-G3</t>
  </si>
  <si>
    <t xml:space="preserve">prop_1M4HNJ07JFR6S85TBSZRPFD0S</t>
  </si>
  <si>
    <t xml:space="preserve">us.eia.860m:3407-G2</t>
  </si>
  <si>
    <t xml:space="preserve">prop_1M4HNJ07KENK98PC82SQ11J3Q</t>
  </si>
  <si>
    <t xml:space="preserve">us.eia.860m:3407-G6</t>
  </si>
  <si>
    <t xml:space="preserve">prop_1M4HNJ07KFVHT4TVHX32QPNK1</t>
  </si>
  <si>
    <t xml:space="preserve">us.eia.860m:3407-G4</t>
  </si>
  <si>
    <t xml:space="preserve">prop_1M4HNJ07KFWX8CAD4YDSCNHWS</t>
  </si>
  <si>
    <t xml:space="preserve">us.eia.860m:3407-G5</t>
  </si>
  <si>
    <t xml:space="preserve">prop_1M4HNJ07MF15RW15VGGVVC105</t>
  </si>
  <si>
    <t xml:space="preserve">us.eia.860m:3407-G7</t>
  </si>
  <si>
    <t xml:space="preserve">prop_1M4HNJ07MF6WAFDA1F6NKZDX5</t>
  </si>
  <si>
    <t xml:space="preserve">us.eia.860m:3407-G8</t>
  </si>
  <si>
    <t xml:space="preserve">prop_1M4HNJ07NERPSE43PAWQ7RY7D</t>
  </si>
  <si>
    <t xml:space="preserve">us.eia.860m:3407-G9</t>
  </si>
  <si>
    <t xml:space="preserve">SV CSG Manteno</t>
  </si>
  <si>
    <t xml:space="preserve">US-IL</t>
  </si>
  <si>
    <t xml:space="preserve">prop_1M4HNJ04GF7XSHE67CMTXNJX5</t>
  </si>
  <si>
    <t xml:space="preserve">us.eia.860m:69948-MANTB</t>
  </si>
  <si>
    <t xml:space="preserve">prop_1M4HNJ04HF3684BX024WJ1FVS</t>
  </si>
  <si>
    <t xml:space="preserve">us.eia.860m:69948-MANTO</t>
  </si>
  <si>
    <t xml:space="preserve">Marcos PV and BESS</t>
  </si>
  <si>
    <t xml:space="preserve">115.9 MW</t>
  </si>
  <si>
    <t xml:space="preserve">prop_1M4HNJ19JFG2RJ9SVKB38371C</t>
  </si>
  <si>
    <t xml:space="preserve">us.eia.860m:68080-GRS8B</t>
  </si>
  <si>
    <t xml:space="preserve">prop_1M4HNJ19KERJBQ7JK92579XVD</t>
  </si>
  <si>
    <t xml:space="preserve">us.eia.860m:68080-GRS8P</t>
  </si>
  <si>
    <t xml:space="preserve">Register</t>
  </si>
  <si>
    <t xml:space="preserve">Name in register</t>
  </si>
  <si>
    <t xml:space="preserve">Role</t>
  </si>
  <si>
    <t xml:space="preserve">Source record id</t>
  </si>
  <si>
    <t xml:space="preserve">EIA plant id</t>
  </si>
  <si>
    <t xml:space="preserve">Register page</t>
  </si>
  <si>
    <t xml:space="preserve">Stable key</t>
  </si>
  <si>
    <t xml:space="preserve">Sheet</t>
  </si>
  <si>
    <t xml:space="preserve">Description</t>
  </si>
  <si>
    <t xml:space="preserve">Population</t>
  </si>
  <si>
    <t xml:space="preserve">Sample</t>
  </si>
  <si>
    <t xml:space="preserve">Selection</t>
  </si>
  <si>
    <t xml:space="preserve">Sites</t>
  </si>
  <si>
    <t xml:space="preserve">The largest sites by member count, all checked</t>
  </si>
  <si>
    <t xml:space="preserve">all</t>
  </si>
  <si>
    <t xml:space="preserve">Grouped by same EIA plant; lowest label confidence high</t>
  </si>
  <si>
    <t xml:space="preserve">permanent random numbers</t>
  </si>
  <si>
    <t xml:space="preserve">Sites frame</t>
  </si>
  <si>
    <t xml:space="preserve">325 sites served at the 'public' tier with two or more served members.</t>
  </si>
  <si>
    <t xml:space="preserve">Merged frame</t>
  </si>
  <si>
    <t xml:space="preserve">0 live records served at the 'public' tier with two or more served source links.</t>
  </si>
  <si>
    <t xml:space="preserve">Sites left out</t>
  </si>
  <si>
    <t xml:space="preserve">1: a printed name may be a natural person's.</t>
  </si>
  <si>
    <t xml:space="preserve">Allocation</t>
  </si>
  <si>
    <t xml:space="preserve">The 5 largest sites are all checked (weight 1). The rest of each budget is shared in proportion to the square root of each stratum's size, at least 2 per stratum: every grouping rule and confidence level is seen, and the large strata still dominate. Weight = population / sample; the scorer reweights by the items actually judged.</t>
  </si>
  <si>
    <t xml:space="preserve">Within a stratum, the items with the smallest permanent random numbers: SHA-256 of seed 20261014 and the item's stable key (its smallest source-link key). Same seed and store: same items; another store: the same items wherever the two agree.</t>
  </si>
</sst>
</file>

<file path=xl/styles.xml><?xml version="1.0" encoding="utf-8"?>
<styleSheet xmlns="http://schemas.openxmlformats.org/spreadsheetml/2006/main">
  <numFmts count="5">
    <numFmt numFmtId="164" formatCode="General"/>
    <numFmt numFmtId="165" formatCode="@"/>
    <numFmt numFmtId="166" formatCode="0"/>
    <numFmt numFmtId="167" formatCode="0.0%"/>
    <numFmt numFmtId="168" formatCode="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1"/>
      <color rgb="FF1F3864"/>
      <name val="Arial"/>
      <family val="0"/>
      <charset val="1"/>
    </font>
    <font>
      <b val="true"/>
      <sz val="10"/>
      <color rgb="FFFFFFFF"/>
      <name val="Arial"/>
      <family val="0"/>
      <charset val="1"/>
    </font>
    <font>
      <u val="single"/>
      <sz val="10"/>
      <color rgb="FF0563C1"/>
      <name val="Arial"/>
      <family val="0"/>
      <charset val="1"/>
    </font>
  </fonts>
  <fills count="5">
    <fill>
      <patternFill patternType="none"/>
    </fill>
    <fill>
      <patternFill patternType="gray125"/>
    </fill>
    <fill>
      <patternFill patternType="solid">
        <fgColor rgb="FFFFF2CC"/>
        <bgColor rgb="FFF2F2F2"/>
      </patternFill>
    </fill>
    <fill>
      <patternFill patternType="solid">
        <fgColor rgb="FF1F3864"/>
        <bgColor rgb="FF333333"/>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true" applyProtection="false">
      <alignment horizontal="general" vertical="top" textRotation="0" wrapText="false" indent="0" shrinkToFit="false"/>
      <protection locked="true" hidden="false"/>
    </xf>
    <xf numFmtId="166" fontId="5" fillId="0" borderId="0" xfId="0" applyFont="true" applyBorder="false" applyAlignment="true" applyProtection="false">
      <alignment horizontal="general" vertical="top" textRotation="0" wrapText="false" indent="0" shrinkToFit="false"/>
      <protection locked="true" hidden="false"/>
    </xf>
    <xf numFmtId="167"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8" fontId="5" fillId="4" borderId="1" xfId="0" applyFont="true" applyBorder="tru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FFF2CC"/>
          <bgColor rgb="FF000000"/>
        </patternFill>
      </fill>
    </dxf>
    <dxf>
      <fill>
        <patternFill patternType="solid">
          <fgColor rgb="FFF2F2F2"/>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2F2"/>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23.85" hidden="false" customHeight="false" outlineLevel="0" collapsed="false">
      <c r="B5" s="5" t="s">
        <v>3</v>
      </c>
    </row>
    <row r="7" customFormat="false" ht="15" hidden="false" customHeight="false" outlineLevel="0" collapsed="false">
      <c r="A7" s="6" t="s">
        <v>4</v>
      </c>
    </row>
    <row r="8" customFormat="false" ht="15" hidden="false" customHeight="false" outlineLevel="0" collapsed="false">
      <c r="A8" s="5" t="s">
        <v>5</v>
      </c>
      <c r="B8" s="7" t="str">
        <f aca="false">COUNTA(Sites!E2:E51)&amp;" of 50"</f>
        <v>0 of 50</v>
      </c>
    </row>
    <row r="9" customFormat="false" ht="15" hidden="false" customHeight="false" outlineLevel="0" collapsed="false">
      <c r="A9" s="5" t="s">
        <v>6</v>
      </c>
      <c r="B9" s="8" t="n">
        <f aca="false">COUNTIF(Sites!E2:E51,"No")</f>
        <v>0</v>
      </c>
    </row>
    <row r="10" customFormat="false" ht="23.85" hidden="false" customHeight="false" outlineLevel="0" collapsed="false">
      <c r="A10" s="5" t="s">
        <v>7</v>
      </c>
      <c r="B10" s="9" t="str">
        <f aca="false">IFERROR(COUNTIF(Sites!E2:E51,"No")/(COUNTIF(Sites!E2:E51,"Yes")+COUNTIF(Sites!E2:E51,"No")),"")</f>
        <v/>
      </c>
    </row>
    <row r="11" customFormat="false" ht="15" hidden="false" customHeight="false" outlineLevel="0" collapsed="false">
      <c r="A11" s="5" t="s">
        <v>8</v>
      </c>
      <c r="B11" s="7" t="str">
        <f aca="false">COUNTA('Merged records'!E2:E2)&amp;" of 0"</f>
        <v>0 of 0</v>
      </c>
    </row>
    <row r="12" customFormat="false" ht="15" hidden="false" customHeight="false" outlineLevel="0" collapsed="false">
      <c r="A12" s="5" t="s">
        <v>9</v>
      </c>
      <c r="B12" s="8" t="n">
        <f aca="false">COUNTIF('Merged records'!E2:E2,"No (several projects)")</f>
        <v>0</v>
      </c>
    </row>
    <row r="13" customFormat="false" ht="23.85" hidden="false" customHeight="false" outlineLevel="0" collapsed="false">
      <c r="A13" s="5" t="s">
        <v>10</v>
      </c>
      <c r="B13" s="9" t="str">
        <f aca="false">IFERROR(COUNTIF('Merged records'!E2:E2,"No (several projects)")/(COUNTIF('Merged records'!E2:E2,"Yes")+COUNTIF('Merged records'!E2:E2,"No (several projects)")),"")</f>
        <v/>
      </c>
    </row>
    <row r="16" customFormat="false" ht="15" hidden="false" customHeight="false" outlineLevel="0" collapsed="false">
      <c r="A16" s="6" t="s">
        <v>11</v>
      </c>
    </row>
    <row r="17" customFormat="false" ht="55.5" hidden="false" customHeight="true" outlineLevel="0" collapsed="false">
      <c r="A17" s="10" t="s">
        <v>12</v>
      </c>
      <c r="B17" s="5" t="s">
        <v>13</v>
      </c>
    </row>
    <row r="18" customFormat="false" ht="30" hidden="false" customHeight="true" outlineLevel="0" collapsed="false">
      <c r="A18" s="10" t="s">
        <v>14</v>
      </c>
      <c r="B18" s="5" t="s">
        <v>15</v>
      </c>
    </row>
    <row r="19" customFormat="false" ht="30" hidden="false" customHeight="true" outlineLevel="0" collapsed="false">
      <c r="A19" s="10" t="s">
        <v>16</v>
      </c>
      <c r="B19" s="5" t="s">
        <v>17</v>
      </c>
    </row>
    <row r="21" customFormat="false" ht="15" hidden="false" customHeight="false" outlineLevel="0" collapsed="false">
      <c r="A21" s="6" t="s">
        <v>18</v>
      </c>
    </row>
    <row r="22" customFormat="false" ht="42.75" hidden="false" customHeight="true" outlineLevel="0" collapsed="false">
      <c r="A22" s="10" t="s">
        <v>19</v>
      </c>
      <c r="B22" s="5" t="s">
        <v>20</v>
      </c>
    </row>
    <row r="23" customFormat="false" ht="42.75" hidden="false" customHeight="true" outlineLevel="0" collapsed="false">
      <c r="A23" s="10" t="s">
        <v>21</v>
      </c>
      <c r="B23" s="5" t="s">
        <v>22</v>
      </c>
    </row>
    <row r="24" customFormat="false" ht="42.75" hidden="false" customHeight="true" outlineLevel="0" collapsed="false">
      <c r="A24" s="10" t="s">
        <v>23</v>
      </c>
      <c r="B24" s="5" t="s">
        <v>24</v>
      </c>
    </row>
    <row r="26" customFormat="false" ht="15" hidden="false" customHeight="false" outlineLevel="0" collapsed="false">
      <c r="A26" s="6" t="s">
        <v>25</v>
      </c>
    </row>
    <row r="27" customFormat="false" ht="30" hidden="false" customHeight="true" outlineLevel="0" collapsed="false">
      <c r="A27" s="10" t="s">
        <v>19</v>
      </c>
      <c r="B27" s="5" t="s">
        <v>26</v>
      </c>
    </row>
    <row r="28" customFormat="false" ht="30" hidden="false" customHeight="true" outlineLevel="0" collapsed="false">
      <c r="A28" s="10" t="s">
        <v>27</v>
      </c>
      <c r="B28" s="5" t="s">
        <v>28</v>
      </c>
    </row>
    <row r="29" customFormat="false" ht="30" hidden="false" customHeight="true" outlineLevel="0" collapsed="false">
      <c r="A29" s="10" t="s">
        <v>29</v>
      </c>
      <c r="B29" s="5" t="s">
        <v>30</v>
      </c>
    </row>
    <row r="31" customFormat="false" ht="15" hidden="false" customHeight="false" outlineLevel="0" collapsed="false">
      <c r="A31" s="6" t="s">
        <v>31</v>
      </c>
    </row>
    <row r="32" customFormat="false" ht="55.5" hidden="false" customHeight="true" outlineLevel="0" collapsed="false">
      <c r="A32" s="10" t="s">
        <v>32</v>
      </c>
      <c r="B32" s="5" t="s">
        <v>33</v>
      </c>
    </row>
    <row r="33" customFormat="false" ht="42.75" hidden="false" customHeight="true" outlineLevel="0" collapsed="false">
      <c r="A33" s="10" t="s">
        <v>34</v>
      </c>
      <c r="B33" s="5" t="s">
        <v>35</v>
      </c>
    </row>
    <row r="34" customFormat="false" ht="55.5" hidden="false" customHeight="true" outlineLevel="0" collapsed="false">
      <c r="A34" s="10" t="s">
        <v>36</v>
      </c>
      <c r="B34" s="5" t="s">
        <v>37</v>
      </c>
    </row>
    <row r="36" customFormat="false" ht="15" hidden="false" customHeight="false" outlineLevel="0" collapsed="false">
      <c r="A36" s="6" t="s">
        <v>38</v>
      </c>
    </row>
    <row r="37" customFormat="false" ht="16.5" hidden="false" customHeight="true" outlineLevel="0" collapsed="false">
      <c r="A37" s="10" t="s">
        <v>39</v>
      </c>
      <c r="B37" s="5" t="s">
        <v>40</v>
      </c>
    </row>
    <row r="38" customFormat="false" ht="16.5" hidden="false" customHeight="true" outlineLevel="0" collapsed="false">
      <c r="A38" s="10" t="s">
        <v>41</v>
      </c>
      <c r="B38" s="5" t="s">
        <v>42</v>
      </c>
    </row>
    <row r="39" customFormat="false" ht="16.5" hidden="false" customHeight="true" outlineLevel="0" collapsed="false">
      <c r="A39" s="10" t="s">
        <v>43</v>
      </c>
      <c r="B39" s="5" t="s">
        <v>44</v>
      </c>
    </row>
    <row r="40" customFormat="false" ht="16.5" hidden="false" customHeight="true" outlineLevel="0" collapsed="false">
      <c r="A40" s="10" t="s">
        <v>45</v>
      </c>
      <c r="B40" s="5" t="s">
        <v>46</v>
      </c>
    </row>
    <row r="41" customFormat="false" ht="16.5" hidden="false" customHeight="true" outlineLevel="0" collapsed="false">
      <c r="A41" s="10" t="s">
        <v>47</v>
      </c>
      <c r="B41" s="5" t="s">
        <v>48</v>
      </c>
    </row>
    <row r="42" customFormat="false" ht="16.5" hidden="false" customHeight="true" outlineLevel="0" collapsed="false">
      <c r="A42" s="10" t="s">
        <v>49</v>
      </c>
      <c r="B42" s="5" t="s">
        <v>50</v>
      </c>
    </row>
    <row r="43" customFormat="false" ht="16.5" hidden="false" customHeight="true" outlineLevel="0" collapsed="false">
      <c r="A43" s="10" t="s">
        <v>51</v>
      </c>
      <c r="B43" s="5" t="s">
        <v>52</v>
      </c>
    </row>
    <row r="44" customFormat="false" ht="16.5" hidden="false" customHeight="true" outlineLevel="0" collapsed="false">
      <c r="A44" s="10" t="s">
        <v>53</v>
      </c>
      <c r="B44" s="5" t="s">
        <v>54</v>
      </c>
    </row>
    <row r="46" customFormat="false" ht="15" hidden="false" customHeight="false" outlineLevel="0" collapsed="false">
      <c r="A46" s="6" t="s">
        <v>55</v>
      </c>
    </row>
    <row r="47" customFormat="false" ht="42.75" hidden="false" customHeight="true" outlineLevel="0" collapsed="false">
      <c r="A47" s="10" t="s">
        <v>56</v>
      </c>
      <c r="B47" s="5" t="s">
        <v>57</v>
      </c>
    </row>
    <row r="48" customFormat="false" ht="30" hidden="false" customHeight="true" outlineLevel="0" collapsed="false">
      <c r="A48" s="10" t="s">
        <v>58</v>
      </c>
      <c r="B48" s="5" t="s">
        <v>59</v>
      </c>
    </row>
    <row r="50" customFormat="false" ht="15" hidden="false" customHeight="false" outlineLevel="0" collapsed="false">
      <c r="A50" s="6" t="s">
        <v>60</v>
      </c>
    </row>
    <row r="51" customFormat="false" ht="30" hidden="false" customHeight="true" outlineLevel="0" collapsed="false">
      <c r="A51" s="10" t="s">
        <v>61</v>
      </c>
      <c r="B51" s="5" t="s">
        <v>62</v>
      </c>
    </row>
    <row r="52" customFormat="false" ht="55.5" hidden="false" customHeight="true" outlineLevel="0" collapsed="false">
      <c r="A52" s="10" t="s">
        <v>63</v>
      </c>
      <c r="B52" s="5" t="s">
        <v>64</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2"/>
    <col collapsed="false" customWidth="true" hidden="false" outlineLevel="0" max="4" min="4" style="0" width="90"/>
    <col collapsed="false" customWidth="true" hidden="false" outlineLevel="0" max="5" min="5" style="0" width="18"/>
    <col collapsed="false" customWidth="true" hidden="false" outlineLevel="0" max="6" min="6" style="0" width="24"/>
    <col collapsed="false" customWidth="true" hidden="false" outlineLevel="0" max="7" min="7" style="0" width="40"/>
    <col collapsed="false" customWidth="true" hidden="false" outlineLevel="0" max="8" min="8" style="0" width="30"/>
    <col collapsed="false" customWidth="true" hidden="false" outlineLevel="0" max="9" min="9" style="0" width="9"/>
    <col collapsed="false" customWidth="true" hidden="false" outlineLevel="0" max="10" min="10" style="0" width="12"/>
    <col collapsed="false" customWidth="true" hidden="false" outlineLevel="0" max="12" min="11" style="0" width="26"/>
    <col collapsed="false" customWidth="true" hidden="false" outlineLevel="0" max="13" min="13" style="0" width="14"/>
    <col collapsed="false" customWidth="true" hidden="false" outlineLevel="0" max="14" min="14" style="0" width="18"/>
    <col collapsed="false" customWidth="true" hidden="false" outlineLevel="0" max="15" min="15" style="0" width="11"/>
    <col collapsed="false" customWidth="true" hidden="false" outlineLevel="0" max="16" min="16" style="0" width="10"/>
    <col collapsed="false" customWidth="true" hidden="false" outlineLevel="0" max="17" min="17" style="0" width="9"/>
    <col collapsed="false" customWidth="true" hidden="false" outlineLevel="0" max="18" min="18" style="0" width="22"/>
    <col collapsed="false" customWidth="true" hidden="false" outlineLevel="0" max="19" min="19" style="0" width="60"/>
  </cols>
  <sheetData>
    <row r="1" customFormat="false" ht="42" hidden="false" customHeight="true" outlineLevel="0" collapsed="false">
      <c r="A1" s="11" t="s">
        <v>65</v>
      </c>
      <c r="B1" s="11" t="s">
        <v>66</v>
      </c>
      <c r="C1" s="11" t="s">
        <v>67</v>
      </c>
      <c r="D1" s="11" t="s">
        <v>68</v>
      </c>
      <c r="E1" s="11" t="s">
        <v>21</v>
      </c>
      <c r="F1" s="11" t="s">
        <v>23</v>
      </c>
      <c r="G1" s="11" t="s">
        <v>69</v>
      </c>
      <c r="H1" s="11" t="s">
        <v>70</v>
      </c>
      <c r="I1" s="11" t="s">
        <v>71</v>
      </c>
      <c r="J1" s="11" t="s">
        <v>72</v>
      </c>
      <c r="K1" s="11" t="s">
        <v>73</v>
      </c>
      <c r="L1" s="11" t="s">
        <v>74</v>
      </c>
      <c r="M1" s="11" t="s">
        <v>75</v>
      </c>
      <c r="N1" s="11" t="s">
        <v>76</v>
      </c>
      <c r="O1" s="11" t="s">
        <v>77</v>
      </c>
      <c r="P1" s="11" t="s">
        <v>78</v>
      </c>
      <c r="Q1" s="11" t="s">
        <v>79</v>
      </c>
      <c r="R1" s="11" t="s">
        <v>80</v>
      </c>
      <c r="S1" s="11" t="s">
        <v>81</v>
      </c>
    </row>
    <row r="2" customFormat="false" ht="55.5" hidden="false" customHeight="true" outlineLevel="0" collapsed="false">
      <c r="A2" s="12" t="s">
        <v>82</v>
      </c>
      <c r="B2" s="13" t="str">
        <f aca="false">HYPERLINK(BaseURL&amp;"/sites/site_1M4KNFAFTEBEAE4TDDHNH7F1S","Hashknife Energy Center II LLC")</f>
        <v>Hashknife Energy Center II LLC</v>
      </c>
      <c r="C2" s="14" t="s">
        <v>83</v>
      </c>
      <c r="D2" s="14" t="s">
        <v>84</v>
      </c>
      <c r="E2" s="15"/>
      <c r="F2" s="15"/>
      <c r="G2" s="16"/>
      <c r="H2" s="14" t="s">
        <v>85</v>
      </c>
      <c r="I2" s="12" t="n">
        <v>2</v>
      </c>
      <c r="J2" s="12" t="s">
        <v>86</v>
      </c>
      <c r="K2" s="14"/>
      <c r="L2" s="14" t="s">
        <v>87</v>
      </c>
      <c r="M2" s="14" t="s">
        <v>88</v>
      </c>
      <c r="N2" s="12" t="s">
        <v>89</v>
      </c>
      <c r="O2" s="12" t="n">
        <v>320</v>
      </c>
      <c r="P2" s="12" t="n">
        <v>45</v>
      </c>
      <c r="Q2" s="17" t="n">
        <f aca="false">IF(P2&gt;0,O2/P2,"")</f>
        <v>7.11111111111111</v>
      </c>
      <c r="R2" s="12" t="s">
        <v>90</v>
      </c>
      <c r="S2" s="12" t="s">
        <v>91</v>
      </c>
    </row>
    <row r="3" customFormat="false" ht="55.5" hidden="false" customHeight="true" outlineLevel="0" collapsed="false">
      <c r="A3" s="12" t="s">
        <v>92</v>
      </c>
      <c r="B3" s="13" t="str">
        <f aca="false">HYPERLINK(BaseURL&amp;"/sites/site_1M4KNFAG3FRT9CS6Y2S397JXZ","Rexford 2 Solar Farm")</f>
        <v>Rexford 2 Solar Farm</v>
      </c>
      <c r="C3" s="14" t="s">
        <v>83</v>
      </c>
      <c r="D3" s="14" t="s">
        <v>93</v>
      </c>
      <c r="E3" s="15"/>
      <c r="F3" s="15"/>
      <c r="G3" s="16"/>
      <c r="H3" s="14" t="s">
        <v>94</v>
      </c>
      <c r="I3" s="12" t="n">
        <v>2</v>
      </c>
      <c r="J3" s="12" t="s">
        <v>86</v>
      </c>
      <c r="K3" s="14"/>
      <c r="L3" s="14" t="s">
        <v>95</v>
      </c>
      <c r="M3" s="14" t="s">
        <v>96</v>
      </c>
      <c r="N3" s="12" t="s">
        <v>89</v>
      </c>
      <c r="O3" s="12" t="n">
        <v>320</v>
      </c>
      <c r="P3" s="12" t="n">
        <v>45</v>
      </c>
      <c r="Q3" s="17" t="n">
        <f aca="false">IF(P3&gt;0,O3/P3,"")</f>
        <v>7.11111111111111</v>
      </c>
      <c r="R3" s="12" t="s">
        <v>97</v>
      </c>
      <c r="S3" s="12" t="s">
        <v>98</v>
      </c>
    </row>
    <row r="4" customFormat="false" ht="55.5" hidden="false" customHeight="true" outlineLevel="0" collapsed="false">
      <c r="A4" s="12" t="s">
        <v>99</v>
      </c>
      <c r="B4" s="13" t="str">
        <f aca="false">HYPERLINK(BaseURL&amp;"/sites/site_1M4KNFAG1FTST2APWR06MHTV5","Harryoung PV and BESS")</f>
        <v>Harryoung PV and BESS</v>
      </c>
      <c r="C4" s="14" t="s">
        <v>83</v>
      </c>
      <c r="D4" s="14" t="s">
        <v>100</v>
      </c>
      <c r="E4" s="15"/>
      <c r="F4" s="15"/>
      <c r="G4" s="16"/>
      <c r="H4" s="14" t="s">
        <v>101</v>
      </c>
      <c r="I4" s="12" t="n">
        <v>2</v>
      </c>
      <c r="J4" s="12" t="s">
        <v>86</v>
      </c>
      <c r="K4" s="14"/>
      <c r="L4" s="14" t="s">
        <v>102</v>
      </c>
      <c r="M4" s="14" t="s">
        <v>103</v>
      </c>
      <c r="N4" s="12" t="s">
        <v>89</v>
      </c>
      <c r="O4" s="12" t="n">
        <v>320</v>
      </c>
      <c r="P4" s="12" t="n">
        <v>45</v>
      </c>
      <c r="Q4" s="17" t="n">
        <f aca="false">IF(P4&gt;0,O4/P4,"")</f>
        <v>7.11111111111111</v>
      </c>
      <c r="R4" s="12" t="s">
        <v>104</v>
      </c>
      <c r="S4" s="12" t="s">
        <v>105</v>
      </c>
    </row>
    <row r="5" customFormat="false" ht="81.75" hidden="false" customHeight="true" outlineLevel="0" collapsed="false">
      <c r="A5" s="12" t="s">
        <v>106</v>
      </c>
      <c r="B5" s="13" t="str">
        <f aca="false">HYPERLINK(BaseURL&amp;"/sites/site_1M4KNFAG6E9X8RCAC1X04VFZY","Energy Center")</f>
        <v>Energy Center</v>
      </c>
      <c r="C5" s="14" t="s">
        <v>83</v>
      </c>
      <c r="D5" s="14" t="s">
        <v>107</v>
      </c>
      <c r="E5" s="15"/>
      <c r="F5" s="15"/>
      <c r="G5" s="16"/>
      <c r="H5" s="14" t="s">
        <v>108</v>
      </c>
      <c r="I5" s="12" t="n">
        <v>3</v>
      </c>
      <c r="J5" s="12" t="s">
        <v>86</v>
      </c>
      <c r="K5" s="14"/>
      <c r="L5" s="14" t="s">
        <v>109</v>
      </c>
      <c r="M5" s="14" t="s">
        <v>110</v>
      </c>
      <c r="N5" s="12" t="s">
        <v>89</v>
      </c>
      <c r="O5" s="12" t="n">
        <v>320</v>
      </c>
      <c r="P5" s="12" t="n">
        <v>45</v>
      </c>
      <c r="Q5" s="17" t="n">
        <f aca="false">IF(P5&gt;0,O5/P5,"")</f>
        <v>7.11111111111111</v>
      </c>
      <c r="R5" s="12" t="s">
        <v>111</v>
      </c>
      <c r="S5" s="12" t="s">
        <v>112</v>
      </c>
    </row>
    <row r="6" customFormat="false" ht="55.5" hidden="false" customHeight="true" outlineLevel="0" collapsed="false">
      <c r="A6" s="12" t="s">
        <v>113</v>
      </c>
      <c r="B6" s="13" t="str">
        <f aca="false">HYPERLINK(BaseURL&amp;"/sites/site_1M4KNFAFTFVJSXDXM3DC3Z0QD","Snipatuit Road Solar")</f>
        <v>Snipatuit Road Solar</v>
      </c>
      <c r="C6" s="14" t="s">
        <v>83</v>
      </c>
      <c r="D6" s="14" t="s">
        <v>114</v>
      </c>
      <c r="E6" s="15"/>
      <c r="F6" s="15"/>
      <c r="G6" s="16"/>
      <c r="H6" s="14" t="s">
        <v>115</v>
      </c>
      <c r="I6" s="12" t="n">
        <v>2</v>
      </c>
      <c r="J6" s="12" t="s">
        <v>86</v>
      </c>
      <c r="K6" s="14"/>
      <c r="L6" s="14" t="s">
        <v>116</v>
      </c>
      <c r="M6" s="14" t="s">
        <v>117</v>
      </c>
      <c r="N6" s="12" t="s">
        <v>89</v>
      </c>
      <c r="O6" s="12" t="n">
        <v>320</v>
      </c>
      <c r="P6" s="12" t="n">
        <v>45</v>
      </c>
      <c r="Q6" s="17" t="n">
        <f aca="false">IF(P6&gt;0,O6/P6,"")</f>
        <v>7.11111111111111</v>
      </c>
      <c r="R6" s="12" t="s">
        <v>118</v>
      </c>
      <c r="S6" s="12" t="s">
        <v>119</v>
      </c>
    </row>
    <row r="7" customFormat="false" ht="55.5" hidden="false" customHeight="true" outlineLevel="0" collapsed="false">
      <c r="A7" s="12" t="s">
        <v>120</v>
      </c>
      <c r="B7" s="13" t="str">
        <f aca="false">HYPERLINK(BaseURL&amp;"/sites/site_1M4KNFAFZE4M94TQW52YA64S9","Libra Solar")</f>
        <v>Libra Solar</v>
      </c>
      <c r="C7" s="14" t="s">
        <v>83</v>
      </c>
      <c r="D7" s="14" t="s">
        <v>121</v>
      </c>
      <c r="E7" s="15"/>
      <c r="F7" s="15"/>
      <c r="G7" s="16"/>
      <c r="H7" s="14" t="s">
        <v>122</v>
      </c>
      <c r="I7" s="12" t="n">
        <v>2</v>
      </c>
      <c r="J7" s="12" t="s">
        <v>86</v>
      </c>
      <c r="K7" s="14"/>
      <c r="L7" s="14" t="s">
        <v>123</v>
      </c>
      <c r="M7" s="14" t="s">
        <v>124</v>
      </c>
      <c r="N7" s="12" t="s">
        <v>89</v>
      </c>
      <c r="O7" s="12" t="n">
        <v>320</v>
      </c>
      <c r="P7" s="12" t="n">
        <v>45</v>
      </c>
      <c r="Q7" s="17" t="n">
        <f aca="false">IF(P7&gt;0,O7/P7,"")</f>
        <v>7.11111111111111</v>
      </c>
      <c r="R7" s="12" t="s">
        <v>125</v>
      </c>
      <c r="S7" s="12" t="s">
        <v>126</v>
      </c>
    </row>
    <row r="8" customFormat="false" ht="108" hidden="false" customHeight="true" outlineLevel="0" collapsed="false">
      <c r="A8" s="12" t="s">
        <v>127</v>
      </c>
      <c r="B8" s="13" t="str">
        <f aca="false">HYPERLINK(BaseURL&amp;"/sites/site_1M4KNFAFWEC6TWT678BC3JDGJ","Project Matador Gas Plant (PMG)")</f>
        <v>Project Matador Gas Plant (PMG)</v>
      </c>
      <c r="C8" s="14" t="s">
        <v>83</v>
      </c>
      <c r="D8" s="14" t="s">
        <v>128</v>
      </c>
      <c r="E8" s="15"/>
      <c r="F8" s="15"/>
      <c r="G8" s="16"/>
      <c r="H8" s="14" t="s">
        <v>129</v>
      </c>
      <c r="I8" s="12" t="n">
        <v>157</v>
      </c>
      <c r="J8" s="12" t="s">
        <v>86</v>
      </c>
      <c r="K8" s="14"/>
      <c r="L8" s="14" t="s">
        <v>130</v>
      </c>
      <c r="M8" s="14" t="s">
        <v>131</v>
      </c>
      <c r="N8" s="12" t="s">
        <v>132</v>
      </c>
      <c r="O8" s="12" t="n">
        <v>5</v>
      </c>
      <c r="P8" s="12" t="n">
        <v>5</v>
      </c>
      <c r="Q8" s="17" t="n">
        <f aca="false">IF(P8&gt;0,O8/P8,"")</f>
        <v>1</v>
      </c>
      <c r="R8" s="12" t="s">
        <v>133</v>
      </c>
      <c r="S8" s="12" t="s">
        <v>134</v>
      </c>
    </row>
    <row r="9" customFormat="false" ht="55.5" hidden="false" customHeight="true" outlineLevel="0" collapsed="false">
      <c r="A9" s="12" t="s">
        <v>135</v>
      </c>
      <c r="B9" s="13" t="str">
        <f aca="false">HYPERLINK(BaseURL&amp;"/sites/site_1M4KNFAG4E9Z80M5ZBWV2NS26","Red Butte Solar and Storage")</f>
        <v>Red Butte Solar and Storage</v>
      </c>
      <c r="C9" s="14" t="s">
        <v>83</v>
      </c>
      <c r="D9" s="14" t="s">
        <v>136</v>
      </c>
      <c r="E9" s="15"/>
      <c r="F9" s="15"/>
      <c r="G9" s="16"/>
      <c r="H9" s="14" t="s">
        <v>137</v>
      </c>
      <c r="I9" s="12" t="n">
        <v>2</v>
      </c>
      <c r="J9" s="12" t="s">
        <v>86</v>
      </c>
      <c r="K9" s="14"/>
      <c r="L9" s="14" t="s">
        <v>138</v>
      </c>
      <c r="M9" s="14" t="s">
        <v>139</v>
      </c>
      <c r="N9" s="12" t="s">
        <v>89</v>
      </c>
      <c r="O9" s="12" t="n">
        <v>320</v>
      </c>
      <c r="P9" s="12" t="n">
        <v>45</v>
      </c>
      <c r="Q9" s="17" t="n">
        <f aca="false">IF(P9&gt;0,O9/P9,"")</f>
        <v>7.11111111111111</v>
      </c>
      <c r="R9" s="12" t="s">
        <v>140</v>
      </c>
      <c r="S9" s="12" t="s">
        <v>141</v>
      </c>
    </row>
    <row r="10" customFormat="false" ht="55.5" hidden="false" customHeight="true" outlineLevel="0" collapsed="false">
      <c r="A10" s="12" t="s">
        <v>142</v>
      </c>
      <c r="B10" s="13" t="str">
        <f aca="false">HYPERLINK(BaseURL&amp;"/sites/site_1M4KNFAFPE0F8HN6G5WMXRB9S","Bellefield 2 Solar &amp; Energy Storage Farm")</f>
        <v>Bellefield 2 Solar &amp; Energy Storage Farm</v>
      </c>
      <c r="C10" s="14" t="s">
        <v>83</v>
      </c>
      <c r="D10" s="14" t="s">
        <v>143</v>
      </c>
      <c r="E10" s="15"/>
      <c r="F10" s="15"/>
      <c r="G10" s="16"/>
      <c r="H10" s="14" t="s">
        <v>144</v>
      </c>
      <c r="I10" s="12" t="n">
        <v>2</v>
      </c>
      <c r="J10" s="12" t="s">
        <v>86</v>
      </c>
      <c r="K10" s="14"/>
      <c r="L10" s="14" t="s">
        <v>145</v>
      </c>
      <c r="M10" s="14" t="s">
        <v>146</v>
      </c>
      <c r="N10" s="12" t="s">
        <v>89</v>
      </c>
      <c r="O10" s="12" t="n">
        <v>320</v>
      </c>
      <c r="P10" s="12" t="n">
        <v>45</v>
      </c>
      <c r="Q10" s="17" t="n">
        <f aca="false">IF(P10&gt;0,O10/P10,"")</f>
        <v>7.11111111111111</v>
      </c>
      <c r="R10" s="12" t="s">
        <v>147</v>
      </c>
      <c r="S10" s="12" t="s">
        <v>148</v>
      </c>
    </row>
    <row r="11" customFormat="false" ht="55.5" hidden="false" customHeight="true" outlineLevel="0" collapsed="false">
      <c r="A11" s="12" t="s">
        <v>149</v>
      </c>
      <c r="B11" s="13" t="str">
        <f aca="false">HYPERLINK(BaseURL&amp;"/sites/site_1M4KNFAFSEBVT6M1ZKEPD6DWD","Randall Lane Solar")</f>
        <v>Randall Lane Solar</v>
      </c>
      <c r="C11" s="14" t="s">
        <v>83</v>
      </c>
      <c r="D11" s="14" t="s">
        <v>150</v>
      </c>
      <c r="E11" s="15"/>
      <c r="F11" s="15"/>
      <c r="G11" s="16"/>
      <c r="H11" s="14" t="s">
        <v>151</v>
      </c>
      <c r="I11" s="12" t="n">
        <v>2</v>
      </c>
      <c r="J11" s="12" t="s">
        <v>86</v>
      </c>
      <c r="K11" s="14"/>
      <c r="L11" s="14" t="s">
        <v>152</v>
      </c>
      <c r="M11" s="14" t="s">
        <v>153</v>
      </c>
      <c r="N11" s="12" t="s">
        <v>89</v>
      </c>
      <c r="O11" s="12" t="n">
        <v>320</v>
      </c>
      <c r="P11" s="12" t="n">
        <v>45</v>
      </c>
      <c r="Q11" s="17" t="n">
        <f aca="false">IF(P11&gt;0,O11/P11,"")</f>
        <v>7.11111111111111</v>
      </c>
      <c r="R11" s="12" t="s">
        <v>154</v>
      </c>
      <c r="S11" s="12" t="s">
        <v>155</v>
      </c>
    </row>
    <row r="12" customFormat="false" ht="55.5" hidden="false" customHeight="true" outlineLevel="0" collapsed="false">
      <c r="A12" s="12" t="s">
        <v>156</v>
      </c>
      <c r="B12" s="13" t="str">
        <f aca="false">HYPERLINK(BaseURL&amp;"/sites/site_1M4KNFAG2EVA90M21PV4YS5WF","Traceview Advanced Power Station")</f>
        <v>Traceview Advanced Power Station</v>
      </c>
      <c r="C12" s="14" t="s">
        <v>83</v>
      </c>
      <c r="D12" s="14" t="s">
        <v>157</v>
      </c>
      <c r="E12" s="15"/>
      <c r="F12" s="15"/>
      <c r="G12" s="16"/>
      <c r="H12" s="14" t="s">
        <v>158</v>
      </c>
      <c r="I12" s="12" t="n">
        <v>2</v>
      </c>
      <c r="J12" s="12" t="s">
        <v>86</v>
      </c>
      <c r="K12" s="14"/>
      <c r="L12" s="14" t="s">
        <v>159</v>
      </c>
      <c r="M12" s="14" t="s">
        <v>160</v>
      </c>
      <c r="N12" s="12" t="s">
        <v>89</v>
      </c>
      <c r="O12" s="12" t="n">
        <v>320</v>
      </c>
      <c r="P12" s="12" t="n">
        <v>45</v>
      </c>
      <c r="Q12" s="17" t="n">
        <f aca="false">IF(P12&gt;0,O12/P12,"")</f>
        <v>7.11111111111111</v>
      </c>
      <c r="R12" s="12" t="s">
        <v>161</v>
      </c>
      <c r="S12" s="12" t="s">
        <v>162</v>
      </c>
    </row>
    <row r="13" customFormat="false" ht="55.5" hidden="false" customHeight="true" outlineLevel="0" collapsed="false">
      <c r="A13" s="12" t="s">
        <v>163</v>
      </c>
      <c r="B13" s="13" t="str">
        <f aca="false">HYPERLINK(BaseURL&amp;"/sites/site_1M4KNFAFPEPPBQ2CEWW86TSTC","McGrau Ford Battery Storage Facility")</f>
        <v>McGrau Ford Battery Storage Facility</v>
      </c>
      <c r="C13" s="14" t="s">
        <v>83</v>
      </c>
      <c r="D13" s="14" t="s">
        <v>164</v>
      </c>
      <c r="E13" s="15"/>
      <c r="F13" s="15"/>
      <c r="G13" s="16"/>
      <c r="H13" s="14" t="s">
        <v>165</v>
      </c>
      <c r="I13" s="12" t="n">
        <v>2</v>
      </c>
      <c r="J13" s="12" t="s">
        <v>86</v>
      </c>
      <c r="K13" s="14"/>
      <c r="L13" s="14" t="s">
        <v>166</v>
      </c>
      <c r="M13" s="14" t="s">
        <v>167</v>
      </c>
      <c r="N13" s="12" t="s">
        <v>89</v>
      </c>
      <c r="O13" s="12" t="n">
        <v>320</v>
      </c>
      <c r="P13" s="12" t="n">
        <v>45</v>
      </c>
      <c r="Q13" s="17" t="n">
        <f aca="false">IF(P13&gt;0,O13/P13,"")</f>
        <v>7.11111111111111</v>
      </c>
      <c r="R13" s="12" t="s">
        <v>168</v>
      </c>
      <c r="S13" s="12" t="s">
        <v>169</v>
      </c>
    </row>
    <row r="14" customFormat="false" ht="108" hidden="false" customHeight="true" outlineLevel="0" collapsed="false">
      <c r="A14" s="12" t="s">
        <v>170</v>
      </c>
      <c r="B14" s="13" t="str">
        <f aca="false">HYPERLINK(BaseURL&amp;"/sites/site_1M4KNFAFQEZMAPA7W30HF15FN","Horseshoe Lake")</f>
        <v>Horseshoe Lake</v>
      </c>
      <c r="C14" s="14" t="s">
        <v>83</v>
      </c>
      <c r="D14" s="14" t="s">
        <v>171</v>
      </c>
      <c r="E14" s="15"/>
      <c r="F14" s="15"/>
      <c r="G14" s="16"/>
      <c r="H14" s="14" t="s">
        <v>172</v>
      </c>
      <c r="I14" s="12" t="n">
        <v>4</v>
      </c>
      <c r="J14" s="12" t="s">
        <v>86</v>
      </c>
      <c r="K14" s="14"/>
      <c r="L14" s="14" t="s">
        <v>173</v>
      </c>
      <c r="M14" s="14" t="s">
        <v>174</v>
      </c>
      <c r="N14" s="12" t="s">
        <v>89</v>
      </c>
      <c r="O14" s="12" t="n">
        <v>320</v>
      </c>
      <c r="P14" s="12" t="n">
        <v>45</v>
      </c>
      <c r="Q14" s="17" t="n">
        <f aca="false">IF(P14&gt;0,O14/P14,"")</f>
        <v>7.11111111111111</v>
      </c>
      <c r="R14" s="12" t="s">
        <v>175</v>
      </c>
      <c r="S14" s="12" t="s">
        <v>176</v>
      </c>
    </row>
    <row r="15" customFormat="false" ht="55.5" hidden="false" customHeight="true" outlineLevel="0" collapsed="false">
      <c r="A15" s="12" t="s">
        <v>177</v>
      </c>
      <c r="B15" s="13" t="str">
        <f aca="false">HYPERLINK(BaseURL&amp;"/sites/site_1M4KNFAG4E5BRNSCVCX50FKJK","Dutchman Solar generation and BESS")</f>
        <v>Dutchman Solar generation and BESS</v>
      </c>
      <c r="C15" s="14" t="s">
        <v>83</v>
      </c>
      <c r="D15" s="14" t="s">
        <v>178</v>
      </c>
      <c r="E15" s="15"/>
      <c r="F15" s="15"/>
      <c r="G15" s="16"/>
      <c r="H15" s="14" t="s">
        <v>179</v>
      </c>
      <c r="I15" s="12" t="n">
        <v>2</v>
      </c>
      <c r="J15" s="12" t="s">
        <v>86</v>
      </c>
      <c r="K15" s="14"/>
      <c r="L15" s="14" t="s">
        <v>180</v>
      </c>
      <c r="M15" s="14" t="s">
        <v>181</v>
      </c>
      <c r="N15" s="12" t="s">
        <v>89</v>
      </c>
      <c r="O15" s="12" t="n">
        <v>320</v>
      </c>
      <c r="P15" s="12" t="n">
        <v>45</v>
      </c>
      <c r="Q15" s="17" t="n">
        <f aca="false">IF(P15&gt;0,O15/P15,"")</f>
        <v>7.11111111111111</v>
      </c>
      <c r="R15" s="12" t="s">
        <v>182</v>
      </c>
      <c r="S15" s="12" t="s">
        <v>183</v>
      </c>
    </row>
    <row r="16" customFormat="false" ht="108" hidden="false" customHeight="true" outlineLevel="0" collapsed="false">
      <c r="A16" s="12" t="s">
        <v>184</v>
      </c>
      <c r="B16" s="13" t="str">
        <f aca="false">HYPERLINK(BaseURL&amp;"/sites/site_1M4KNFAG1FE7BK395V1BAGC82","Homer City Generating Station")</f>
        <v>Homer City Generating Station</v>
      </c>
      <c r="C16" s="14" t="s">
        <v>83</v>
      </c>
      <c r="D16" s="14" t="s">
        <v>185</v>
      </c>
      <c r="E16" s="15"/>
      <c r="F16" s="15"/>
      <c r="G16" s="16"/>
      <c r="H16" s="14" t="s">
        <v>186</v>
      </c>
      <c r="I16" s="12" t="n">
        <v>14</v>
      </c>
      <c r="J16" s="12" t="s">
        <v>86</v>
      </c>
      <c r="K16" s="14"/>
      <c r="L16" s="14" t="s">
        <v>187</v>
      </c>
      <c r="M16" s="14" t="s">
        <v>188</v>
      </c>
      <c r="N16" s="12" t="s">
        <v>132</v>
      </c>
      <c r="O16" s="12" t="n">
        <v>5</v>
      </c>
      <c r="P16" s="12" t="n">
        <v>5</v>
      </c>
      <c r="Q16" s="17" t="n">
        <f aca="false">IF(P16&gt;0,O16/P16,"")</f>
        <v>1</v>
      </c>
      <c r="R16" s="12" t="s">
        <v>189</v>
      </c>
      <c r="S16" s="12" t="s">
        <v>190</v>
      </c>
    </row>
    <row r="17" customFormat="false" ht="81.75" hidden="false" customHeight="true" outlineLevel="0" collapsed="false">
      <c r="A17" s="12" t="s">
        <v>191</v>
      </c>
      <c r="B17" s="13" t="str">
        <f aca="false">HYPERLINK(BaseURL&amp;"/sites/site_1M4KNFAG7ER6SG5PA1BFHMD28","Colonel Charles D. Maynard Project")</f>
        <v>Colonel Charles D. Maynard Project</v>
      </c>
      <c r="C17" s="14" t="s">
        <v>83</v>
      </c>
      <c r="D17" s="14" t="s">
        <v>192</v>
      </c>
      <c r="E17" s="15"/>
      <c r="F17" s="15"/>
      <c r="G17" s="16"/>
      <c r="H17" s="14" t="s">
        <v>193</v>
      </c>
      <c r="I17" s="12" t="n">
        <v>3</v>
      </c>
      <c r="J17" s="12" t="s">
        <v>86</v>
      </c>
      <c r="K17" s="14"/>
      <c r="L17" s="14" t="s">
        <v>194</v>
      </c>
      <c r="M17" s="14" t="s">
        <v>195</v>
      </c>
      <c r="N17" s="12" t="s">
        <v>89</v>
      </c>
      <c r="O17" s="12" t="n">
        <v>320</v>
      </c>
      <c r="P17" s="12" t="n">
        <v>45</v>
      </c>
      <c r="Q17" s="17" t="n">
        <f aca="false">IF(P17&gt;0,O17/P17,"")</f>
        <v>7.11111111111111</v>
      </c>
      <c r="R17" s="12" t="s">
        <v>196</v>
      </c>
      <c r="S17" s="12" t="s">
        <v>197</v>
      </c>
    </row>
    <row r="18" customFormat="false" ht="55.5" hidden="false" customHeight="true" outlineLevel="0" collapsed="false">
      <c r="A18" s="12" t="s">
        <v>198</v>
      </c>
      <c r="B18" s="13" t="str">
        <f aca="false">HYPERLINK(BaseURL&amp;"/sites/site_1M4KNFAFRENZA5XJ93XNWENGA","CA Bloomington 2551 S Lilac Avenue Micro")</f>
        <v>CA Bloomington 2551 S Lilac Avenue Micro</v>
      </c>
      <c r="C18" s="14" t="s">
        <v>83</v>
      </c>
      <c r="D18" s="14" t="s">
        <v>199</v>
      </c>
      <c r="E18" s="15"/>
      <c r="F18" s="15"/>
      <c r="G18" s="16"/>
      <c r="H18" s="14" t="s">
        <v>200</v>
      </c>
      <c r="I18" s="12" t="n">
        <v>2</v>
      </c>
      <c r="J18" s="12" t="s">
        <v>86</v>
      </c>
      <c r="K18" s="14"/>
      <c r="L18" s="14" t="s">
        <v>201</v>
      </c>
      <c r="M18" s="14" t="s">
        <v>202</v>
      </c>
      <c r="N18" s="12" t="s">
        <v>89</v>
      </c>
      <c r="O18" s="12" t="n">
        <v>320</v>
      </c>
      <c r="P18" s="12" t="n">
        <v>45</v>
      </c>
      <c r="Q18" s="17" t="n">
        <f aca="false">IF(P18&gt;0,O18/P18,"")</f>
        <v>7.11111111111111</v>
      </c>
      <c r="R18" s="12" t="s">
        <v>203</v>
      </c>
      <c r="S18" s="12" t="s">
        <v>204</v>
      </c>
    </row>
    <row r="19" customFormat="false" ht="55.5" hidden="false" customHeight="true" outlineLevel="0" collapsed="false">
      <c r="A19" s="12" t="s">
        <v>205</v>
      </c>
      <c r="B19" s="13" t="str">
        <f aca="false">HYPERLINK(BaseURL&amp;"/sites/site_1M4KNFAFVF7BTY16QD7DW6BJ4","Zeta Solar &amp; Storage")</f>
        <v>Zeta Solar &amp; Storage</v>
      </c>
      <c r="C19" s="14" t="s">
        <v>83</v>
      </c>
      <c r="D19" s="14" t="s">
        <v>206</v>
      </c>
      <c r="E19" s="15"/>
      <c r="F19" s="15"/>
      <c r="G19" s="16"/>
      <c r="H19" s="14" t="s">
        <v>207</v>
      </c>
      <c r="I19" s="12" t="n">
        <v>2</v>
      </c>
      <c r="J19" s="12" t="s">
        <v>86</v>
      </c>
      <c r="K19" s="14"/>
      <c r="L19" s="14" t="s">
        <v>208</v>
      </c>
      <c r="M19" s="14" t="s">
        <v>209</v>
      </c>
      <c r="N19" s="12" t="s">
        <v>89</v>
      </c>
      <c r="O19" s="12" t="n">
        <v>320</v>
      </c>
      <c r="P19" s="12" t="n">
        <v>45</v>
      </c>
      <c r="Q19" s="17" t="n">
        <f aca="false">IF(P19&gt;0,O19/P19,"")</f>
        <v>7.11111111111111</v>
      </c>
      <c r="R19" s="12" t="s">
        <v>210</v>
      </c>
      <c r="S19" s="12" t="s">
        <v>211</v>
      </c>
    </row>
    <row r="20" customFormat="false" ht="55.5" hidden="false" customHeight="true" outlineLevel="0" collapsed="false">
      <c r="A20" s="12" t="s">
        <v>212</v>
      </c>
      <c r="B20" s="13" t="str">
        <f aca="false">HYPERLINK(BaseURL&amp;"/sites/site_1M4KNFAG3FMA95SF3DECWEEAX","Robeson Solar I")</f>
        <v>Robeson Solar I</v>
      </c>
      <c r="C20" s="14" t="s">
        <v>83</v>
      </c>
      <c r="D20" s="14" t="s">
        <v>213</v>
      </c>
      <c r="E20" s="15"/>
      <c r="F20" s="15"/>
      <c r="G20" s="16"/>
      <c r="H20" s="14" t="s">
        <v>214</v>
      </c>
      <c r="I20" s="12" t="n">
        <v>2</v>
      </c>
      <c r="J20" s="12" t="s">
        <v>86</v>
      </c>
      <c r="K20" s="14"/>
      <c r="L20" s="14" t="s">
        <v>215</v>
      </c>
      <c r="M20" s="14" t="s">
        <v>216</v>
      </c>
      <c r="N20" s="12" t="s">
        <v>89</v>
      </c>
      <c r="O20" s="12" t="n">
        <v>320</v>
      </c>
      <c r="P20" s="12" t="n">
        <v>45</v>
      </c>
      <c r="Q20" s="17" t="n">
        <f aca="false">IF(P20&gt;0,O20/P20,"")</f>
        <v>7.11111111111111</v>
      </c>
      <c r="R20" s="12" t="s">
        <v>217</v>
      </c>
      <c r="S20" s="12" t="s">
        <v>218</v>
      </c>
    </row>
    <row r="21" customFormat="false" ht="55.5" hidden="false" customHeight="true" outlineLevel="0" collapsed="false">
      <c r="A21" s="12" t="s">
        <v>219</v>
      </c>
      <c r="B21" s="13" t="str">
        <f aca="false">HYPERLINK(BaseURL&amp;"/sites/site_1M4KNFAG2ENV8VX9EWNYB44GS","NISA Electric Generation Project")</f>
        <v>NISA Electric Generation Project</v>
      </c>
      <c r="C21" s="14" t="s">
        <v>83</v>
      </c>
      <c r="D21" s="14" t="s">
        <v>220</v>
      </c>
      <c r="E21" s="15"/>
      <c r="F21" s="15"/>
      <c r="G21" s="16"/>
      <c r="H21" s="14" t="s">
        <v>221</v>
      </c>
      <c r="I21" s="12" t="n">
        <v>2</v>
      </c>
      <c r="J21" s="12" t="s">
        <v>86</v>
      </c>
      <c r="K21" s="14"/>
      <c r="L21" s="14" t="s">
        <v>222</v>
      </c>
      <c r="M21" s="14" t="s">
        <v>223</v>
      </c>
      <c r="N21" s="12" t="s">
        <v>89</v>
      </c>
      <c r="O21" s="12" t="n">
        <v>320</v>
      </c>
      <c r="P21" s="12" t="n">
        <v>45</v>
      </c>
      <c r="Q21" s="17" t="n">
        <f aca="false">IF(P21&gt;0,O21/P21,"")</f>
        <v>7.11111111111111</v>
      </c>
      <c r="R21" s="12" t="s">
        <v>224</v>
      </c>
      <c r="S21" s="12" t="s">
        <v>225</v>
      </c>
    </row>
    <row r="22" customFormat="false" ht="55.5" hidden="false" customHeight="true" outlineLevel="0" collapsed="false">
      <c r="A22" s="12" t="s">
        <v>226</v>
      </c>
      <c r="B22" s="13" t="str">
        <f aca="false">HYPERLINK(BaseURL&amp;"/sites/site_1M4KNFAFPEK6RXR1TGYBDWQ35","Pacifico Power Lancaster 01")</f>
        <v>Pacifico Power Lancaster 01</v>
      </c>
      <c r="C22" s="14" t="s">
        <v>83</v>
      </c>
      <c r="D22" s="14" t="s">
        <v>227</v>
      </c>
      <c r="E22" s="15"/>
      <c r="F22" s="15"/>
      <c r="G22" s="16"/>
      <c r="H22" s="14" t="s">
        <v>228</v>
      </c>
      <c r="I22" s="12" t="n">
        <v>2</v>
      </c>
      <c r="J22" s="12" t="s">
        <v>86</v>
      </c>
      <c r="K22" s="14"/>
      <c r="L22" s="14" t="s">
        <v>229</v>
      </c>
      <c r="M22" s="14" t="s">
        <v>230</v>
      </c>
      <c r="N22" s="12" t="s">
        <v>89</v>
      </c>
      <c r="O22" s="12" t="n">
        <v>320</v>
      </c>
      <c r="P22" s="12" t="n">
        <v>45</v>
      </c>
      <c r="Q22" s="17" t="n">
        <f aca="false">IF(P22&gt;0,O22/P22,"")</f>
        <v>7.11111111111111</v>
      </c>
      <c r="R22" s="12" t="s">
        <v>231</v>
      </c>
      <c r="S22" s="12" t="s">
        <v>232</v>
      </c>
    </row>
    <row r="23" customFormat="false" ht="55.5" hidden="false" customHeight="true" outlineLevel="0" collapsed="false">
      <c r="A23" s="12" t="s">
        <v>233</v>
      </c>
      <c r="B23" s="13" t="str">
        <f aca="false">HYPERLINK(BaseURL&amp;"/sites/site_1M4KNFAG1EEQR9E66CDYEJCD2","Alina Energy LLC")</f>
        <v>Alina Energy LLC</v>
      </c>
      <c r="C23" s="14" t="s">
        <v>83</v>
      </c>
      <c r="D23" s="14" t="s">
        <v>234</v>
      </c>
      <c r="E23" s="15"/>
      <c r="F23" s="15"/>
      <c r="G23" s="16"/>
      <c r="H23" s="14" t="s">
        <v>235</v>
      </c>
      <c r="I23" s="12" t="n">
        <v>2</v>
      </c>
      <c r="J23" s="12" t="s">
        <v>86</v>
      </c>
      <c r="K23" s="14"/>
      <c r="L23" s="14" t="s">
        <v>236</v>
      </c>
      <c r="M23" s="14" t="s">
        <v>237</v>
      </c>
      <c r="N23" s="12" t="s">
        <v>89</v>
      </c>
      <c r="O23" s="12" t="n">
        <v>320</v>
      </c>
      <c r="P23" s="12" t="n">
        <v>45</v>
      </c>
      <c r="Q23" s="17" t="n">
        <f aca="false">IF(P23&gt;0,O23/P23,"")</f>
        <v>7.11111111111111</v>
      </c>
      <c r="R23" s="12" t="s">
        <v>238</v>
      </c>
      <c r="S23" s="12" t="s">
        <v>239</v>
      </c>
    </row>
    <row r="24" customFormat="false" ht="55.5" hidden="false" customHeight="true" outlineLevel="0" collapsed="false">
      <c r="A24" s="12" t="s">
        <v>240</v>
      </c>
      <c r="B24" s="13" t="str">
        <f aca="false">HYPERLINK(BaseURL&amp;"/sites/site_1M4KNFAFTEKZRSJ3K634H3MJY","Vast Sands Power")</f>
        <v>Vast Sands Power</v>
      </c>
      <c r="C24" s="14" t="s">
        <v>83</v>
      </c>
      <c r="D24" s="14" t="s">
        <v>241</v>
      </c>
      <c r="E24" s="15"/>
      <c r="F24" s="15"/>
      <c r="G24" s="16"/>
      <c r="H24" s="14" t="s">
        <v>242</v>
      </c>
      <c r="I24" s="12" t="n">
        <v>2</v>
      </c>
      <c r="J24" s="12" t="s">
        <v>86</v>
      </c>
      <c r="K24" s="14"/>
      <c r="L24" s="14" t="s">
        <v>243</v>
      </c>
      <c r="M24" s="14" t="s">
        <v>244</v>
      </c>
      <c r="N24" s="12" t="s">
        <v>89</v>
      </c>
      <c r="O24" s="12" t="n">
        <v>320</v>
      </c>
      <c r="P24" s="12" t="n">
        <v>45</v>
      </c>
      <c r="Q24" s="17" t="n">
        <f aca="false">IF(P24&gt;0,O24/P24,"")</f>
        <v>7.11111111111111</v>
      </c>
      <c r="R24" s="12" t="s">
        <v>245</v>
      </c>
      <c r="S24" s="12" t="s">
        <v>246</v>
      </c>
    </row>
    <row r="25" customFormat="false" ht="108" hidden="false" customHeight="true" outlineLevel="0" collapsed="false">
      <c r="A25" s="12" t="s">
        <v>247</v>
      </c>
      <c r="B25" s="13" t="str">
        <f aca="false">HYPERLINK(BaseURL&amp;"/sites/site_1M4KNFAG0EDM8VBEGZRV9Z29Q","Rawhide")</f>
        <v>Rawhide</v>
      </c>
      <c r="C25" s="14" t="s">
        <v>83</v>
      </c>
      <c r="D25" s="14" t="s">
        <v>248</v>
      </c>
      <c r="E25" s="15"/>
      <c r="F25" s="15"/>
      <c r="G25" s="16"/>
      <c r="H25" s="14" t="s">
        <v>249</v>
      </c>
      <c r="I25" s="12" t="n">
        <v>5</v>
      </c>
      <c r="J25" s="12" t="s">
        <v>86</v>
      </c>
      <c r="K25" s="14"/>
      <c r="L25" s="14" t="s">
        <v>250</v>
      </c>
      <c r="M25" s="14" t="s">
        <v>251</v>
      </c>
      <c r="N25" s="12" t="s">
        <v>89</v>
      </c>
      <c r="O25" s="12" t="n">
        <v>320</v>
      </c>
      <c r="P25" s="12" t="n">
        <v>45</v>
      </c>
      <c r="Q25" s="17" t="n">
        <f aca="false">IF(P25&gt;0,O25/P25,"")</f>
        <v>7.11111111111111</v>
      </c>
      <c r="R25" s="12" t="s">
        <v>252</v>
      </c>
      <c r="S25" s="12" t="s">
        <v>253</v>
      </c>
    </row>
    <row r="26" customFormat="false" ht="55.5" hidden="false" customHeight="true" outlineLevel="0" collapsed="false">
      <c r="A26" s="12" t="s">
        <v>254</v>
      </c>
      <c r="B26" s="13" t="str">
        <f aca="false">HYPERLINK(BaseURL&amp;"/sites/site_1M4KNFAFVF6YTJCBAW9C92DBG","Cherry")</f>
        <v>Cherry</v>
      </c>
      <c r="C26" s="14" t="s">
        <v>83</v>
      </c>
      <c r="D26" s="14" t="s">
        <v>255</v>
      </c>
      <c r="E26" s="15"/>
      <c r="F26" s="15"/>
      <c r="G26" s="16"/>
      <c r="H26" s="14" t="s">
        <v>256</v>
      </c>
      <c r="I26" s="12" t="n">
        <v>2</v>
      </c>
      <c r="J26" s="12" t="s">
        <v>86</v>
      </c>
      <c r="K26" s="14"/>
      <c r="L26" s="14" t="s">
        <v>257</v>
      </c>
      <c r="M26" s="14" t="s">
        <v>258</v>
      </c>
      <c r="N26" s="12" t="s">
        <v>89</v>
      </c>
      <c r="O26" s="12" t="n">
        <v>320</v>
      </c>
      <c r="P26" s="12" t="n">
        <v>45</v>
      </c>
      <c r="Q26" s="17" t="n">
        <f aca="false">IF(P26&gt;0,O26/P26,"")</f>
        <v>7.11111111111111</v>
      </c>
      <c r="R26" s="12" t="s">
        <v>259</v>
      </c>
      <c r="S26" s="12" t="s">
        <v>260</v>
      </c>
    </row>
    <row r="27" customFormat="false" ht="55.5" hidden="false" customHeight="true" outlineLevel="0" collapsed="false">
      <c r="A27" s="12" t="s">
        <v>261</v>
      </c>
      <c r="B27" s="13" t="str">
        <f aca="false">HYPERLINK(BaseURL&amp;"/sites/site_1M4KNFAFZFJ989W6JH7CAZES1","Vichy Solar")</f>
        <v>Vichy Solar</v>
      </c>
      <c r="C27" s="14" t="s">
        <v>83</v>
      </c>
      <c r="D27" s="14" t="s">
        <v>262</v>
      </c>
      <c r="E27" s="15"/>
      <c r="F27" s="15"/>
      <c r="G27" s="16"/>
      <c r="H27" s="14" t="s">
        <v>263</v>
      </c>
      <c r="I27" s="12" t="n">
        <v>2</v>
      </c>
      <c r="J27" s="12" t="s">
        <v>86</v>
      </c>
      <c r="K27" s="14"/>
      <c r="L27" s="14" t="s">
        <v>264</v>
      </c>
      <c r="M27" s="14" t="s">
        <v>265</v>
      </c>
      <c r="N27" s="12" t="s">
        <v>89</v>
      </c>
      <c r="O27" s="12" t="n">
        <v>320</v>
      </c>
      <c r="P27" s="12" t="n">
        <v>45</v>
      </c>
      <c r="Q27" s="17" t="n">
        <f aca="false">IF(P27&gt;0,O27/P27,"")</f>
        <v>7.11111111111111</v>
      </c>
      <c r="R27" s="12" t="s">
        <v>266</v>
      </c>
      <c r="S27" s="12" t="s">
        <v>267</v>
      </c>
    </row>
    <row r="28" customFormat="false" ht="55.5" hidden="false" customHeight="true" outlineLevel="0" collapsed="false">
      <c r="A28" s="12" t="s">
        <v>268</v>
      </c>
      <c r="B28" s="13" t="str">
        <f aca="false">HYPERLINK(BaseURL&amp;"/sites/site_1M4KNFAG5EKX83N3KD7MPSXRD","Solstice Solar LLC")</f>
        <v>Solstice Solar LLC</v>
      </c>
      <c r="C28" s="14" t="s">
        <v>83</v>
      </c>
      <c r="D28" s="14" t="s">
        <v>269</v>
      </c>
      <c r="E28" s="15"/>
      <c r="F28" s="15"/>
      <c r="G28" s="16"/>
      <c r="H28" s="14" t="s">
        <v>270</v>
      </c>
      <c r="I28" s="12" t="n">
        <v>2</v>
      </c>
      <c r="J28" s="12" t="s">
        <v>86</v>
      </c>
      <c r="K28" s="14"/>
      <c r="L28" s="14" t="s">
        <v>271</v>
      </c>
      <c r="M28" s="14" t="s">
        <v>272</v>
      </c>
      <c r="N28" s="12" t="s">
        <v>89</v>
      </c>
      <c r="O28" s="12" t="n">
        <v>320</v>
      </c>
      <c r="P28" s="12" t="n">
        <v>45</v>
      </c>
      <c r="Q28" s="17" t="n">
        <f aca="false">IF(P28&gt;0,O28/P28,"")</f>
        <v>7.11111111111111</v>
      </c>
      <c r="R28" s="12" t="s">
        <v>273</v>
      </c>
      <c r="S28" s="12" t="s">
        <v>274</v>
      </c>
    </row>
    <row r="29" customFormat="false" ht="55.5" hidden="false" customHeight="true" outlineLevel="0" collapsed="false">
      <c r="A29" s="12" t="s">
        <v>275</v>
      </c>
      <c r="B29" s="13" t="str">
        <f aca="false">HYPERLINK(BaseURL&amp;"/sites/site_1M4KNFAG0EW3RMQP83H2R6X48","Hornet Solar II (TX) (Hybrid)")</f>
        <v>Hornet Solar II (TX) (Hybrid)</v>
      </c>
      <c r="C29" s="14" t="s">
        <v>83</v>
      </c>
      <c r="D29" s="14" t="s">
        <v>276</v>
      </c>
      <c r="E29" s="15"/>
      <c r="F29" s="15"/>
      <c r="G29" s="16"/>
      <c r="H29" s="14" t="s">
        <v>277</v>
      </c>
      <c r="I29" s="12" t="n">
        <v>2</v>
      </c>
      <c r="J29" s="12" t="s">
        <v>86</v>
      </c>
      <c r="K29" s="14"/>
      <c r="L29" s="14" t="s">
        <v>264</v>
      </c>
      <c r="M29" s="14" t="s">
        <v>278</v>
      </c>
      <c r="N29" s="12" t="s">
        <v>89</v>
      </c>
      <c r="O29" s="12" t="n">
        <v>320</v>
      </c>
      <c r="P29" s="12" t="n">
        <v>45</v>
      </c>
      <c r="Q29" s="17" t="n">
        <f aca="false">IF(P29&gt;0,O29/P29,"")</f>
        <v>7.11111111111111</v>
      </c>
      <c r="R29" s="12" t="s">
        <v>279</v>
      </c>
      <c r="S29" s="12" t="s">
        <v>280</v>
      </c>
    </row>
    <row r="30" customFormat="false" ht="55.5" hidden="false" customHeight="true" outlineLevel="0" collapsed="false">
      <c r="A30" s="12" t="s">
        <v>281</v>
      </c>
      <c r="B30" s="13" t="str">
        <f aca="false">HYPERLINK(BaseURL&amp;"/sites/site_1M4KNFAFVE14B58HE94MDVTFD","Four Mile Mesa Solar, LLC")</f>
        <v>Four Mile Mesa Solar, LLC</v>
      </c>
      <c r="C30" s="14" t="s">
        <v>83</v>
      </c>
      <c r="D30" s="14" t="s">
        <v>282</v>
      </c>
      <c r="E30" s="15"/>
      <c r="F30" s="15"/>
      <c r="G30" s="16"/>
      <c r="H30" s="14" t="s">
        <v>283</v>
      </c>
      <c r="I30" s="12" t="n">
        <v>2</v>
      </c>
      <c r="J30" s="12" t="s">
        <v>86</v>
      </c>
      <c r="K30" s="14"/>
      <c r="L30" s="14" t="s">
        <v>284</v>
      </c>
      <c r="M30" s="14" t="s">
        <v>285</v>
      </c>
      <c r="N30" s="12" t="s">
        <v>89</v>
      </c>
      <c r="O30" s="12" t="n">
        <v>320</v>
      </c>
      <c r="P30" s="12" t="n">
        <v>45</v>
      </c>
      <c r="Q30" s="17" t="n">
        <f aca="false">IF(P30&gt;0,O30/P30,"")</f>
        <v>7.11111111111111</v>
      </c>
      <c r="R30" s="12" t="s">
        <v>286</v>
      </c>
      <c r="S30" s="12" t="s">
        <v>287</v>
      </c>
    </row>
    <row r="31" customFormat="false" ht="55.5" hidden="false" customHeight="true" outlineLevel="0" collapsed="false">
      <c r="A31" s="12" t="s">
        <v>288</v>
      </c>
      <c r="B31" s="13" t="str">
        <f aca="false">HYPERLINK(BaseURL&amp;"/sites/site_1M4KNFAG1FKHVMRV8TTBMSFF6","CO Bar D Solar and BESS")</f>
        <v>CO Bar D Solar and BESS</v>
      </c>
      <c r="C31" s="14" t="s">
        <v>83</v>
      </c>
      <c r="D31" s="14" t="s">
        <v>289</v>
      </c>
      <c r="E31" s="15"/>
      <c r="F31" s="15"/>
      <c r="G31" s="16"/>
      <c r="H31" s="14" t="s">
        <v>290</v>
      </c>
      <c r="I31" s="12" t="n">
        <v>2</v>
      </c>
      <c r="J31" s="12" t="s">
        <v>86</v>
      </c>
      <c r="K31" s="14"/>
      <c r="L31" s="14" t="s">
        <v>271</v>
      </c>
      <c r="M31" s="14" t="s">
        <v>291</v>
      </c>
      <c r="N31" s="12" t="s">
        <v>89</v>
      </c>
      <c r="O31" s="12" t="n">
        <v>320</v>
      </c>
      <c r="P31" s="12" t="n">
        <v>45</v>
      </c>
      <c r="Q31" s="17" t="n">
        <f aca="false">IF(P31&gt;0,O31/P31,"")</f>
        <v>7.11111111111111</v>
      </c>
      <c r="R31" s="12" t="s">
        <v>292</v>
      </c>
      <c r="S31" s="12" t="s">
        <v>293</v>
      </c>
    </row>
    <row r="32" customFormat="false" ht="81.75" hidden="false" customHeight="true" outlineLevel="0" collapsed="false">
      <c r="A32" s="12" t="s">
        <v>294</v>
      </c>
      <c r="B32" s="13" t="str">
        <f aca="false">HYPERLINK(BaseURL&amp;"/sites/site_1M4KNFAFVE6TVXF2YGFKS5TMM","Bishop Ranch - BR 3-GG")</f>
        <v>Bishop Ranch - BR 3-GG</v>
      </c>
      <c r="C32" s="14" t="s">
        <v>83</v>
      </c>
      <c r="D32" s="14" t="s">
        <v>295</v>
      </c>
      <c r="E32" s="15"/>
      <c r="F32" s="15"/>
      <c r="G32" s="16"/>
      <c r="H32" s="14" t="s">
        <v>296</v>
      </c>
      <c r="I32" s="12" t="n">
        <v>3</v>
      </c>
      <c r="J32" s="12" t="s">
        <v>86</v>
      </c>
      <c r="K32" s="14"/>
      <c r="L32" s="14" t="s">
        <v>297</v>
      </c>
      <c r="M32" s="14" t="s">
        <v>298</v>
      </c>
      <c r="N32" s="12" t="s">
        <v>89</v>
      </c>
      <c r="O32" s="12" t="n">
        <v>320</v>
      </c>
      <c r="P32" s="12" t="n">
        <v>45</v>
      </c>
      <c r="Q32" s="17" t="n">
        <f aca="false">IF(P32&gt;0,O32/P32,"")</f>
        <v>7.11111111111111</v>
      </c>
      <c r="R32" s="12" t="s">
        <v>299</v>
      </c>
      <c r="S32" s="12" t="s">
        <v>300</v>
      </c>
    </row>
    <row r="33" customFormat="false" ht="55.5" hidden="false" customHeight="true" outlineLevel="0" collapsed="false">
      <c r="A33" s="12" t="s">
        <v>301</v>
      </c>
      <c r="B33" s="13" t="str">
        <f aca="false">HYPERLINK(BaseURL&amp;"/sites/site_1M4KNFAG3E82TWB9P9RW44Y8M","Sienna Solar Farm")</f>
        <v>Sienna Solar Farm</v>
      </c>
      <c r="C33" s="14" t="s">
        <v>83</v>
      </c>
      <c r="D33" s="14" t="s">
        <v>302</v>
      </c>
      <c r="E33" s="15"/>
      <c r="F33" s="15"/>
      <c r="G33" s="16"/>
      <c r="H33" s="14" t="s">
        <v>303</v>
      </c>
      <c r="I33" s="12" t="n">
        <v>2</v>
      </c>
      <c r="J33" s="12" t="s">
        <v>86</v>
      </c>
      <c r="K33" s="14"/>
      <c r="L33" s="14" t="s">
        <v>304</v>
      </c>
      <c r="M33" s="14" t="s">
        <v>305</v>
      </c>
      <c r="N33" s="12" t="s">
        <v>89</v>
      </c>
      <c r="O33" s="12" t="n">
        <v>320</v>
      </c>
      <c r="P33" s="12" t="n">
        <v>45</v>
      </c>
      <c r="Q33" s="17" t="n">
        <f aca="false">IF(P33&gt;0,O33/P33,"")</f>
        <v>7.11111111111111</v>
      </c>
      <c r="R33" s="12" t="s">
        <v>306</v>
      </c>
      <c r="S33" s="12" t="s">
        <v>307</v>
      </c>
    </row>
    <row r="34" customFormat="false" ht="55.5" hidden="false" customHeight="true" outlineLevel="0" collapsed="false">
      <c r="A34" s="12" t="s">
        <v>308</v>
      </c>
      <c r="B34" s="13" t="str">
        <f aca="false">HYPERLINK(BaseURL&amp;"/sites/site_1M4KNFAFSF08STX9TV1NR3TTN","FRP Miller Solar")</f>
        <v>FRP Miller Solar</v>
      </c>
      <c r="C34" s="14" t="s">
        <v>83</v>
      </c>
      <c r="D34" s="14" t="s">
        <v>309</v>
      </c>
      <c r="E34" s="15"/>
      <c r="F34" s="15"/>
      <c r="G34" s="16"/>
      <c r="H34" s="14" t="s">
        <v>310</v>
      </c>
      <c r="I34" s="12" t="n">
        <v>2</v>
      </c>
      <c r="J34" s="12" t="s">
        <v>86</v>
      </c>
      <c r="K34" s="14"/>
      <c r="L34" s="14" t="s">
        <v>311</v>
      </c>
      <c r="M34" s="14" t="s">
        <v>312</v>
      </c>
      <c r="N34" s="12" t="s">
        <v>89</v>
      </c>
      <c r="O34" s="12" t="n">
        <v>320</v>
      </c>
      <c r="P34" s="12" t="n">
        <v>45</v>
      </c>
      <c r="Q34" s="17" t="n">
        <f aca="false">IF(P34&gt;0,O34/P34,"")</f>
        <v>7.11111111111111</v>
      </c>
      <c r="R34" s="12" t="s">
        <v>313</v>
      </c>
      <c r="S34" s="12" t="s">
        <v>314</v>
      </c>
    </row>
    <row r="35" customFormat="false" ht="55.5" hidden="false" customHeight="true" outlineLevel="0" collapsed="false">
      <c r="A35" s="12" t="s">
        <v>315</v>
      </c>
      <c r="B35" s="13" t="str">
        <f aca="false">HYPERLINK(BaseURL&amp;"/sites/site_1M4KNFAFSFCJRMJYJJAGP9ZAG","Clear Fork Creek Solar and BESS SLF")</f>
        <v>Clear Fork Creek Solar and BESS SLF</v>
      </c>
      <c r="C35" s="14" t="s">
        <v>83</v>
      </c>
      <c r="D35" s="14" t="s">
        <v>316</v>
      </c>
      <c r="E35" s="15"/>
      <c r="F35" s="15"/>
      <c r="G35" s="16"/>
      <c r="H35" s="14" t="s">
        <v>317</v>
      </c>
      <c r="I35" s="12" t="n">
        <v>2</v>
      </c>
      <c r="J35" s="12" t="s">
        <v>86</v>
      </c>
      <c r="K35" s="14"/>
      <c r="L35" s="14" t="s">
        <v>318</v>
      </c>
      <c r="M35" s="14" t="s">
        <v>319</v>
      </c>
      <c r="N35" s="12" t="s">
        <v>89</v>
      </c>
      <c r="O35" s="12" t="n">
        <v>320</v>
      </c>
      <c r="P35" s="12" t="n">
        <v>45</v>
      </c>
      <c r="Q35" s="17" t="n">
        <f aca="false">IF(P35&gt;0,O35/P35,"")</f>
        <v>7.11111111111111</v>
      </c>
      <c r="R35" s="12" t="s">
        <v>320</v>
      </c>
      <c r="S35" s="12" t="s">
        <v>321</v>
      </c>
    </row>
    <row r="36" customFormat="false" ht="55.5" hidden="false" customHeight="true" outlineLevel="0" collapsed="false">
      <c r="A36" s="12" t="s">
        <v>322</v>
      </c>
      <c r="B36" s="13" t="str">
        <f aca="false">HYPERLINK(BaseURL&amp;"/sites/site_1M4KNFAG3EVKBABJP1Y174S1R","Cuchillas PV and BESS")</f>
        <v>Cuchillas PV and BESS</v>
      </c>
      <c r="C36" s="14" t="s">
        <v>83</v>
      </c>
      <c r="D36" s="14" t="s">
        <v>323</v>
      </c>
      <c r="E36" s="15"/>
      <c r="F36" s="15"/>
      <c r="G36" s="16"/>
      <c r="H36" s="14" t="s">
        <v>324</v>
      </c>
      <c r="I36" s="12" t="n">
        <v>2</v>
      </c>
      <c r="J36" s="12" t="s">
        <v>86</v>
      </c>
      <c r="K36" s="14"/>
      <c r="L36" s="14" t="s">
        <v>325</v>
      </c>
      <c r="M36" s="14" t="s">
        <v>326</v>
      </c>
      <c r="N36" s="12" t="s">
        <v>89</v>
      </c>
      <c r="O36" s="12" t="n">
        <v>320</v>
      </c>
      <c r="P36" s="12" t="n">
        <v>45</v>
      </c>
      <c r="Q36" s="17" t="n">
        <f aca="false">IF(P36&gt;0,O36/P36,"")</f>
        <v>7.11111111111111</v>
      </c>
      <c r="R36" s="12" t="s">
        <v>327</v>
      </c>
      <c r="S36" s="12" t="s">
        <v>328</v>
      </c>
    </row>
    <row r="37" customFormat="false" ht="55.5" hidden="false" customHeight="true" outlineLevel="0" collapsed="false">
      <c r="A37" s="12" t="s">
        <v>329</v>
      </c>
      <c r="B37" s="13" t="str">
        <f aca="false">HYPERLINK(BaseURL&amp;"/sites/site_1M4KNFAG5FMWS7JZCVK6N6K5E","Grand Valley Solar Generation and BESS")</f>
        <v>Grand Valley Solar Generation and BESS</v>
      </c>
      <c r="C37" s="14" t="s">
        <v>83</v>
      </c>
      <c r="D37" s="14" t="s">
        <v>330</v>
      </c>
      <c r="E37" s="15"/>
      <c r="F37" s="15"/>
      <c r="G37" s="16"/>
      <c r="H37" s="14" t="s">
        <v>331</v>
      </c>
      <c r="I37" s="12" t="n">
        <v>2</v>
      </c>
      <c r="J37" s="12" t="s">
        <v>86</v>
      </c>
      <c r="K37" s="14"/>
      <c r="L37" s="14" t="s">
        <v>332</v>
      </c>
      <c r="M37" s="14" t="s">
        <v>333</v>
      </c>
      <c r="N37" s="12" t="s">
        <v>89</v>
      </c>
      <c r="O37" s="12" t="n">
        <v>320</v>
      </c>
      <c r="P37" s="12" t="n">
        <v>45</v>
      </c>
      <c r="Q37" s="17" t="n">
        <f aca="false">IF(P37&gt;0,O37/P37,"")</f>
        <v>7.11111111111111</v>
      </c>
      <c r="R37" s="12" t="s">
        <v>334</v>
      </c>
      <c r="S37" s="12" t="s">
        <v>335</v>
      </c>
    </row>
    <row r="38" customFormat="false" ht="55.5" hidden="false" customHeight="true" outlineLevel="0" collapsed="false">
      <c r="A38" s="12" t="s">
        <v>336</v>
      </c>
      <c r="B38" s="13" t="str">
        <f aca="false">HYPERLINK(BaseURL&amp;"/sites/site_1M4KNFAG5FN1RMNMRWEXH5MD1","Sacramento Valley Energy Center, LLC")</f>
        <v>Sacramento Valley Energy Center, LLC</v>
      </c>
      <c r="C38" s="14" t="s">
        <v>83</v>
      </c>
      <c r="D38" s="14" t="s">
        <v>337</v>
      </c>
      <c r="E38" s="15"/>
      <c r="F38" s="15"/>
      <c r="G38" s="16"/>
      <c r="H38" s="14" t="s">
        <v>338</v>
      </c>
      <c r="I38" s="12" t="n">
        <v>2</v>
      </c>
      <c r="J38" s="12" t="s">
        <v>86</v>
      </c>
      <c r="K38" s="14"/>
      <c r="L38" s="14" t="s">
        <v>339</v>
      </c>
      <c r="M38" s="14" t="s">
        <v>340</v>
      </c>
      <c r="N38" s="12" t="s">
        <v>89</v>
      </c>
      <c r="O38" s="12" t="n">
        <v>320</v>
      </c>
      <c r="P38" s="12" t="n">
        <v>45</v>
      </c>
      <c r="Q38" s="17" t="n">
        <f aca="false">IF(P38&gt;0,O38/P38,"")</f>
        <v>7.11111111111111</v>
      </c>
      <c r="R38" s="12" t="s">
        <v>341</v>
      </c>
      <c r="S38" s="12" t="s">
        <v>342</v>
      </c>
    </row>
    <row r="39" customFormat="false" ht="108" hidden="false" customHeight="true" outlineLevel="0" collapsed="false">
      <c r="A39" s="12" t="s">
        <v>343</v>
      </c>
      <c r="B39" s="13" t="str">
        <f aca="false">HYPERLINK(BaseURL&amp;"/sites/site_1M4KNFAFWE1NT4WPZGYCZ9XN7","Fish Lake Geothermal")</f>
        <v>Fish Lake Geothermal</v>
      </c>
      <c r="C39" s="14" t="s">
        <v>83</v>
      </c>
      <c r="D39" s="14" t="s">
        <v>344</v>
      </c>
      <c r="E39" s="15"/>
      <c r="F39" s="15"/>
      <c r="G39" s="16"/>
      <c r="H39" s="14" t="s">
        <v>345</v>
      </c>
      <c r="I39" s="12" t="n">
        <v>5</v>
      </c>
      <c r="J39" s="12" t="s">
        <v>86</v>
      </c>
      <c r="K39" s="14"/>
      <c r="L39" s="14" t="s">
        <v>346</v>
      </c>
      <c r="M39" s="14" t="s">
        <v>347</v>
      </c>
      <c r="N39" s="12" t="s">
        <v>89</v>
      </c>
      <c r="O39" s="12" t="n">
        <v>320</v>
      </c>
      <c r="P39" s="12" t="n">
        <v>45</v>
      </c>
      <c r="Q39" s="17" t="n">
        <f aca="false">IF(P39&gt;0,O39/P39,"")</f>
        <v>7.11111111111111</v>
      </c>
      <c r="R39" s="12" t="s">
        <v>348</v>
      </c>
      <c r="S39" s="12" t="s">
        <v>349</v>
      </c>
    </row>
    <row r="40" customFormat="false" ht="55.5" hidden="false" customHeight="true" outlineLevel="0" collapsed="false">
      <c r="A40" s="12" t="s">
        <v>350</v>
      </c>
      <c r="B40" s="13" t="str">
        <f aca="false">HYPERLINK(BaseURL&amp;"/sites/site_1M4KNFAFWE61858BBT5NQR2B0","Lupinus Solar 1, LLC")</f>
        <v>Lupinus Solar 1, LLC</v>
      </c>
      <c r="C40" s="14" t="s">
        <v>83</v>
      </c>
      <c r="D40" s="14" t="s">
        <v>351</v>
      </c>
      <c r="E40" s="15"/>
      <c r="F40" s="15"/>
      <c r="G40" s="16"/>
      <c r="H40" s="14" t="s">
        <v>352</v>
      </c>
      <c r="I40" s="12" t="n">
        <v>2</v>
      </c>
      <c r="J40" s="12" t="s">
        <v>86</v>
      </c>
      <c r="K40" s="14"/>
      <c r="L40" s="14" t="s">
        <v>353</v>
      </c>
      <c r="M40" s="14" t="s">
        <v>354</v>
      </c>
      <c r="N40" s="12" t="s">
        <v>89</v>
      </c>
      <c r="O40" s="12" t="n">
        <v>320</v>
      </c>
      <c r="P40" s="12" t="n">
        <v>45</v>
      </c>
      <c r="Q40" s="17" t="n">
        <f aca="false">IF(P40&gt;0,O40/P40,"")</f>
        <v>7.11111111111111</v>
      </c>
      <c r="R40" s="12" t="s">
        <v>355</v>
      </c>
      <c r="S40" s="12" t="s">
        <v>356</v>
      </c>
    </row>
    <row r="41" customFormat="false" ht="108" hidden="false" customHeight="true" outlineLevel="0" collapsed="false">
      <c r="A41" s="12" t="s">
        <v>357</v>
      </c>
      <c r="B41" s="13" t="str">
        <f aca="false">HYPERLINK(BaseURL&amp;"/sites/site_1M4KNFAFRFE1RS7DEQ9YVD5D6","Lange Generating Station")</f>
        <v>Lange Generating Station</v>
      </c>
      <c r="C41" s="14" t="s">
        <v>83</v>
      </c>
      <c r="D41" s="14" t="s">
        <v>358</v>
      </c>
      <c r="E41" s="15"/>
      <c r="F41" s="15"/>
      <c r="G41" s="16"/>
      <c r="H41" s="14" t="s">
        <v>359</v>
      </c>
      <c r="I41" s="12" t="n">
        <v>6</v>
      </c>
      <c r="J41" s="12" t="s">
        <v>86</v>
      </c>
      <c r="K41" s="14"/>
      <c r="L41" s="14" t="s">
        <v>360</v>
      </c>
      <c r="M41" s="14" t="s">
        <v>361</v>
      </c>
      <c r="N41" s="12" t="s">
        <v>89</v>
      </c>
      <c r="O41" s="12" t="n">
        <v>320</v>
      </c>
      <c r="P41" s="12" t="n">
        <v>45</v>
      </c>
      <c r="Q41" s="17" t="n">
        <f aca="false">IF(P41&gt;0,O41/P41,"")</f>
        <v>7.11111111111111</v>
      </c>
      <c r="R41" s="12" t="s">
        <v>362</v>
      </c>
      <c r="S41" s="12" t="s">
        <v>363</v>
      </c>
    </row>
    <row r="42" customFormat="false" ht="108" hidden="false" customHeight="true" outlineLevel="0" collapsed="false">
      <c r="A42" s="12" t="s">
        <v>364</v>
      </c>
      <c r="B42" s="13" t="str">
        <f aca="false">HYPERLINK(BaseURL&amp;"/sites/site_1M4KNFAG1E7NVHJPM5Z68J7QY","NTEC Gas Plant")</f>
        <v>NTEC Gas Plant</v>
      </c>
      <c r="C42" s="14" t="s">
        <v>83</v>
      </c>
      <c r="D42" s="14" t="s">
        <v>365</v>
      </c>
      <c r="E42" s="15"/>
      <c r="F42" s="15"/>
      <c r="G42" s="16"/>
      <c r="H42" s="14" t="s">
        <v>366</v>
      </c>
      <c r="I42" s="12" t="n">
        <v>18</v>
      </c>
      <c r="J42" s="12" t="s">
        <v>86</v>
      </c>
      <c r="K42" s="14"/>
      <c r="L42" s="14" t="s">
        <v>367</v>
      </c>
      <c r="M42" s="14" t="s">
        <v>368</v>
      </c>
      <c r="N42" s="12" t="s">
        <v>132</v>
      </c>
      <c r="O42" s="12" t="n">
        <v>5</v>
      </c>
      <c r="P42" s="12" t="n">
        <v>5</v>
      </c>
      <c r="Q42" s="17" t="n">
        <f aca="false">IF(P42&gt;0,O42/P42,"")</f>
        <v>1</v>
      </c>
      <c r="R42" s="12" t="s">
        <v>369</v>
      </c>
      <c r="S42" s="12" t="s">
        <v>370</v>
      </c>
    </row>
    <row r="43" customFormat="false" ht="108" hidden="false" customHeight="true" outlineLevel="0" collapsed="false">
      <c r="A43" s="12" t="s">
        <v>371</v>
      </c>
      <c r="B43" s="13" t="str">
        <f aca="false">HYPERLINK(BaseURL&amp;"/sites/site_1M4KNFAG5F42ACY1DA27T7VV7","Princeton Road Station")</f>
        <v>Princeton Road Station</v>
      </c>
      <c r="C43" s="14" t="s">
        <v>83</v>
      </c>
      <c r="D43" s="14" t="s">
        <v>372</v>
      </c>
      <c r="E43" s="15"/>
      <c r="F43" s="15"/>
      <c r="G43" s="16"/>
      <c r="H43" s="14" t="s">
        <v>373</v>
      </c>
      <c r="I43" s="12" t="n">
        <v>14</v>
      </c>
      <c r="J43" s="12" t="s">
        <v>86</v>
      </c>
      <c r="K43" s="14"/>
      <c r="L43" s="14" t="s">
        <v>374</v>
      </c>
      <c r="M43" s="14" t="s">
        <v>375</v>
      </c>
      <c r="N43" s="12" t="s">
        <v>132</v>
      </c>
      <c r="O43" s="12" t="n">
        <v>5</v>
      </c>
      <c r="P43" s="12" t="n">
        <v>5</v>
      </c>
      <c r="Q43" s="17" t="n">
        <f aca="false">IF(P43&gt;0,O43/P43,"")</f>
        <v>1</v>
      </c>
      <c r="R43" s="12" t="s">
        <v>376</v>
      </c>
      <c r="S43" s="12" t="s">
        <v>377</v>
      </c>
    </row>
    <row r="44" customFormat="false" ht="108" hidden="false" customHeight="true" outlineLevel="0" collapsed="false">
      <c r="A44" s="12" t="s">
        <v>378</v>
      </c>
      <c r="B44" s="13" t="str">
        <f aca="false">HYPERLINK(BaseURL&amp;"/sites/site_1M4KNFAFQFBHBXEMCDRACHZ6B","Grayson")</f>
        <v>Grayson</v>
      </c>
      <c r="C44" s="14" t="s">
        <v>83</v>
      </c>
      <c r="D44" s="14" t="s">
        <v>379</v>
      </c>
      <c r="E44" s="15"/>
      <c r="F44" s="15"/>
      <c r="G44" s="16"/>
      <c r="H44" s="14" t="s">
        <v>380</v>
      </c>
      <c r="I44" s="12" t="n">
        <v>4</v>
      </c>
      <c r="J44" s="12" t="s">
        <v>86</v>
      </c>
      <c r="K44" s="14"/>
      <c r="L44" s="14" t="s">
        <v>381</v>
      </c>
      <c r="M44" s="14" t="s">
        <v>382</v>
      </c>
      <c r="N44" s="12" t="s">
        <v>89</v>
      </c>
      <c r="O44" s="12" t="n">
        <v>320</v>
      </c>
      <c r="P44" s="12" t="n">
        <v>45</v>
      </c>
      <c r="Q44" s="17" t="n">
        <f aca="false">IF(P44&gt;0,O44/P44,"")</f>
        <v>7.11111111111111</v>
      </c>
      <c r="R44" s="12" t="s">
        <v>383</v>
      </c>
      <c r="S44" s="12" t="s">
        <v>384</v>
      </c>
    </row>
    <row r="45" customFormat="false" ht="108" hidden="false" customHeight="true" outlineLevel="0" collapsed="false">
      <c r="A45" s="12" t="s">
        <v>385</v>
      </c>
      <c r="B45" s="13" t="str">
        <f aca="false">HYPERLINK(BaseURL&amp;"/sites/site_1M4KNFAFSFWP80VMZSKPT3Y07","Coyanosa Gas")</f>
        <v>Coyanosa Gas</v>
      </c>
      <c r="C45" s="14" t="s">
        <v>83</v>
      </c>
      <c r="D45" s="14" t="s">
        <v>386</v>
      </c>
      <c r="E45" s="15"/>
      <c r="F45" s="15"/>
      <c r="G45" s="16"/>
      <c r="H45" s="14" t="s">
        <v>387</v>
      </c>
      <c r="I45" s="12" t="n">
        <v>4</v>
      </c>
      <c r="J45" s="12" t="s">
        <v>86</v>
      </c>
      <c r="K45" s="14"/>
      <c r="L45" s="14" t="s">
        <v>388</v>
      </c>
      <c r="M45" s="14" t="s">
        <v>389</v>
      </c>
      <c r="N45" s="12" t="s">
        <v>89</v>
      </c>
      <c r="O45" s="12" t="n">
        <v>320</v>
      </c>
      <c r="P45" s="12" t="n">
        <v>45</v>
      </c>
      <c r="Q45" s="17" t="n">
        <f aca="false">IF(P45&gt;0,O45/P45,"")</f>
        <v>7.11111111111111</v>
      </c>
      <c r="R45" s="12" t="s">
        <v>390</v>
      </c>
      <c r="S45" s="12" t="s">
        <v>391</v>
      </c>
    </row>
    <row r="46" customFormat="false" ht="55.5" hidden="false" customHeight="true" outlineLevel="0" collapsed="false">
      <c r="A46" s="12" t="s">
        <v>392</v>
      </c>
      <c r="B46" s="13" t="str">
        <f aca="false">HYPERLINK(BaseURL&amp;"/sites/site_1M4KNFAG0FACTVE1YCE1N0BGW","Darden III Solar")</f>
        <v>Darden III Solar</v>
      </c>
      <c r="C46" s="14" t="s">
        <v>83</v>
      </c>
      <c r="D46" s="14" t="s">
        <v>393</v>
      </c>
      <c r="E46" s="15"/>
      <c r="F46" s="15"/>
      <c r="G46" s="16"/>
      <c r="H46" s="14" t="s">
        <v>394</v>
      </c>
      <c r="I46" s="12" t="n">
        <v>2</v>
      </c>
      <c r="J46" s="12" t="s">
        <v>86</v>
      </c>
      <c r="K46" s="14"/>
      <c r="L46" s="14" t="s">
        <v>395</v>
      </c>
      <c r="M46" s="14" t="s">
        <v>396</v>
      </c>
      <c r="N46" s="12" t="s">
        <v>89</v>
      </c>
      <c r="O46" s="12" t="n">
        <v>320</v>
      </c>
      <c r="P46" s="12" t="n">
        <v>45</v>
      </c>
      <c r="Q46" s="17" t="n">
        <f aca="false">IF(P46&gt;0,O46/P46,"")</f>
        <v>7.11111111111111</v>
      </c>
      <c r="R46" s="12" t="s">
        <v>397</v>
      </c>
      <c r="S46" s="12" t="s">
        <v>398</v>
      </c>
    </row>
    <row r="47" customFormat="false" ht="55.5" hidden="false" customHeight="true" outlineLevel="0" collapsed="false">
      <c r="A47" s="12" t="s">
        <v>399</v>
      </c>
      <c r="B47" s="13" t="str">
        <f aca="false">HYPERLINK(BaseURL&amp;"/sites/site_1M4KNFAG4FW6TDNV3PGZ34Q4R","Sienna 2 Solar and Storage Project")</f>
        <v>Sienna 2 Solar and Storage Project</v>
      </c>
      <c r="C47" s="14" t="s">
        <v>83</v>
      </c>
      <c r="D47" s="14" t="s">
        <v>400</v>
      </c>
      <c r="E47" s="15"/>
      <c r="F47" s="15"/>
      <c r="G47" s="16"/>
      <c r="H47" s="14" t="s">
        <v>401</v>
      </c>
      <c r="I47" s="12" t="n">
        <v>2</v>
      </c>
      <c r="J47" s="12" t="s">
        <v>86</v>
      </c>
      <c r="K47" s="14"/>
      <c r="L47" s="14" t="s">
        <v>402</v>
      </c>
      <c r="M47" s="14" t="s">
        <v>403</v>
      </c>
      <c r="N47" s="12" t="s">
        <v>89</v>
      </c>
      <c r="O47" s="12" t="n">
        <v>320</v>
      </c>
      <c r="P47" s="12" t="n">
        <v>45</v>
      </c>
      <c r="Q47" s="17" t="n">
        <f aca="false">IF(P47&gt;0,O47/P47,"")</f>
        <v>7.11111111111111</v>
      </c>
      <c r="R47" s="12" t="s">
        <v>404</v>
      </c>
      <c r="S47" s="12" t="s">
        <v>405</v>
      </c>
    </row>
    <row r="48" customFormat="false" ht="55.5" hidden="false" customHeight="true" outlineLevel="0" collapsed="false">
      <c r="A48" s="12" t="s">
        <v>406</v>
      </c>
      <c r="B48" s="13" t="str">
        <f aca="false">HYPERLINK(BaseURL&amp;"/sites/site_1M4KNFAFPEXXS9ADA0RGD23X8","NL NY- Pulaski")</f>
        <v>NL NY- Pulaski</v>
      </c>
      <c r="C48" s="14" t="s">
        <v>83</v>
      </c>
      <c r="D48" s="14" t="s">
        <v>407</v>
      </c>
      <c r="E48" s="15"/>
      <c r="F48" s="15"/>
      <c r="G48" s="16"/>
      <c r="H48" s="14" t="s">
        <v>408</v>
      </c>
      <c r="I48" s="12" t="n">
        <v>2</v>
      </c>
      <c r="J48" s="12" t="s">
        <v>86</v>
      </c>
      <c r="K48" s="14"/>
      <c r="L48" s="14" t="s">
        <v>409</v>
      </c>
      <c r="M48" s="14" t="s">
        <v>410</v>
      </c>
      <c r="N48" s="12" t="s">
        <v>89</v>
      </c>
      <c r="O48" s="12" t="n">
        <v>320</v>
      </c>
      <c r="P48" s="12" t="n">
        <v>45</v>
      </c>
      <c r="Q48" s="17" t="n">
        <f aca="false">IF(P48&gt;0,O48/P48,"")</f>
        <v>7.11111111111111</v>
      </c>
      <c r="R48" s="12" t="s">
        <v>411</v>
      </c>
      <c r="S48" s="12" t="s">
        <v>412</v>
      </c>
    </row>
    <row r="49" customFormat="false" ht="108" hidden="false" customHeight="true" outlineLevel="0" collapsed="false">
      <c r="A49" s="12" t="s">
        <v>413</v>
      </c>
      <c r="B49" s="13" t="str">
        <f aca="false">HYPERLINK(BaseURL&amp;"/sites/site_1M4KNFAFXE7ER02D2E1MZQXC8","Kingston")</f>
        <v>Kingston</v>
      </c>
      <c r="C49" s="14" t="s">
        <v>83</v>
      </c>
      <c r="D49" s="14" t="s">
        <v>414</v>
      </c>
      <c r="E49" s="15"/>
      <c r="F49" s="15"/>
      <c r="G49" s="16"/>
      <c r="H49" s="14" t="s">
        <v>415</v>
      </c>
      <c r="I49" s="12" t="n">
        <v>18</v>
      </c>
      <c r="J49" s="12" t="s">
        <v>86</v>
      </c>
      <c r="K49" s="14"/>
      <c r="L49" s="14" t="s">
        <v>416</v>
      </c>
      <c r="M49" s="14" t="s">
        <v>417</v>
      </c>
      <c r="N49" s="12" t="s">
        <v>132</v>
      </c>
      <c r="O49" s="12" t="n">
        <v>5</v>
      </c>
      <c r="P49" s="12" t="n">
        <v>5</v>
      </c>
      <c r="Q49" s="17" t="n">
        <f aca="false">IF(P49&gt;0,O49/P49,"")</f>
        <v>1</v>
      </c>
      <c r="R49" s="12" t="s">
        <v>418</v>
      </c>
      <c r="S49" s="12" t="s">
        <v>419</v>
      </c>
    </row>
    <row r="50" customFormat="false" ht="55.5" hidden="false" customHeight="true" outlineLevel="0" collapsed="false">
      <c r="A50" s="12" t="s">
        <v>420</v>
      </c>
      <c r="B50" s="13" t="str">
        <f aca="false">HYPERLINK(BaseURL&amp;"/sites/site_1M4KNFAFWF55THD59FGZ87AEY","SV CSG Manteno")</f>
        <v>SV CSG Manteno</v>
      </c>
      <c r="C50" s="14" t="s">
        <v>83</v>
      </c>
      <c r="D50" s="14" t="s">
        <v>421</v>
      </c>
      <c r="E50" s="15"/>
      <c r="F50" s="15"/>
      <c r="G50" s="16"/>
      <c r="H50" s="14" t="s">
        <v>422</v>
      </c>
      <c r="I50" s="12" t="n">
        <v>2</v>
      </c>
      <c r="J50" s="12" t="s">
        <v>86</v>
      </c>
      <c r="K50" s="14"/>
      <c r="L50" s="14" t="s">
        <v>423</v>
      </c>
      <c r="M50" s="14" t="s">
        <v>424</v>
      </c>
      <c r="N50" s="12" t="s">
        <v>89</v>
      </c>
      <c r="O50" s="12" t="n">
        <v>320</v>
      </c>
      <c r="P50" s="12" t="n">
        <v>45</v>
      </c>
      <c r="Q50" s="17" t="n">
        <f aca="false">IF(P50&gt;0,O50/P50,"")</f>
        <v>7.11111111111111</v>
      </c>
      <c r="R50" s="12" t="s">
        <v>425</v>
      </c>
      <c r="S50" s="12" t="s">
        <v>426</v>
      </c>
    </row>
    <row r="51" customFormat="false" ht="55.5" hidden="false" customHeight="true" outlineLevel="0" collapsed="false">
      <c r="A51" s="12" t="s">
        <v>427</v>
      </c>
      <c r="B51" s="13" t="str">
        <f aca="false">HYPERLINK(BaseURL&amp;"/sites/site_1M4KNFAG5E2J939HMM4GQAN20","Marcos PV and BESS")</f>
        <v>Marcos PV and BESS</v>
      </c>
      <c r="C51" s="14" t="s">
        <v>83</v>
      </c>
      <c r="D51" s="14" t="s">
        <v>428</v>
      </c>
      <c r="E51" s="15"/>
      <c r="F51" s="15"/>
      <c r="G51" s="16"/>
      <c r="H51" s="14" t="s">
        <v>429</v>
      </c>
      <c r="I51" s="12" t="n">
        <v>2</v>
      </c>
      <c r="J51" s="12" t="s">
        <v>86</v>
      </c>
      <c r="K51" s="14"/>
      <c r="L51" s="14" t="s">
        <v>430</v>
      </c>
      <c r="M51" s="14" t="s">
        <v>431</v>
      </c>
      <c r="N51" s="12" t="s">
        <v>89</v>
      </c>
      <c r="O51" s="12" t="n">
        <v>320</v>
      </c>
      <c r="P51" s="12" t="n">
        <v>45</v>
      </c>
      <c r="Q51" s="17" t="n">
        <f aca="false">IF(P51&gt;0,O51/P51,"")</f>
        <v>7.11111111111111</v>
      </c>
      <c r="R51" s="12" t="s">
        <v>432</v>
      </c>
      <c r="S51" s="12" t="s">
        <v>433</v>
      </c>
    </row>
  </sheetData>
  <autoFilter ref="A1:S51"/>
  <dataValidations count="2">
    <dataValidation allowBlank="true" error="Choose one of: Yes, No, Unsure" errorStyle="stop" errorTitle="Pick from the list" operator="between" showDropDown="false" showErrorMessage="true" showInputMessage="false" sqref="E2:E51" type="list">
      <formula1>"Yes,No,Unsure"</formula1>
      <formula2>0</formula2>
    </dataValidation>
    <dataValidation allowBlank="true" error="Choose one of: Unrelated record grouped, Missing record, Wrong lead, Wrong label, Other" errorStyle="stop" errorTitle="Pick from the list" operator="between" showDropDown="false" showErrorMessage="true" showInputMessage="false" sqref="F2:F51" type="list">
      <formula1>"Unrelated record grouped,Missing record,Wrong lead,Wrong label,Other"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26"/>
    <col collapsed="false" customWidth="true" hidden="false" outlineLevel="0" max="4" min="4" style="0" width="88"/>
    <col collapsed="false" customWidth="true" hidden="false" outlineLevel="0" max="5" min="5" style="0" width="20"/>
    <col collapsed="false" customWidth="true" hidden="false" outlineLevel="0" max="6" min="6" style="0" width="26"/>
    <col collapsed="false" customWidth="true" hidden="false" outlineLevel="0" max="7" min="7" style="0" width="40"/>
    <col collapsed="false" customWidth="true" hidden="false" outlineLevel="0" max="8" min="8" style="0" width="7"/>
    <col collapsed="false" customWidth="true" hidden="false" outlineLevel="0" max="9" min="9" style="0" width="9"/>
    <col collapsed="false" customWidth="true" hidden="false" outlineLevel="0" max="10" min="10" style="0" width="14"/>
    <col collapsed="false" customWidth="true" hidden="false" outlineLevel="0" max="12" min="11" style="0" width="26"/>
    <col collapsed="false" customWidth="true" hidden="false" outlineLevel="0" max="13" min="13" style="0" width="22"/>
    <col collapsed="false" customWidth="true" hidden="false" outlineLevel="0" max="14" min="14" style="0" width="16"/>
    <col collapsed="false" customWidth="true" hidden="false" outlineLevel="0" max="15" min="15" style="0" width="11"/>
    <col collapsed="false" customWidth="true" hidden="false" outlineLevel="0" max="16" min="16" style="0" width="10"/>
    <col collapsed="false" customWidth="true" hidden="false" outlineLevel="0" max="17" min="17" style="0" width="9"/>
    <col collapsed="false" customWidth="true" hidden="false" outlineLevel="0" max="18" min="18" style="0" width="22"/>
    <col collapsed="false" customWidth="true" hidden="false" outlineLevel="0" max="19" min="19" style="0" width="60"/>
  </cols>
  <sheetData>
    <row r="1" customFormat="false" ht="42" hidden="false" customHeight="true" outlineLevel="0" collapsed="false">
      <c r="A1" s="11" t="s">
        <v>65</v>
      </c>
      <c r="B1" s="11" t="s">
        <v>434</v>
      </c>
      <c r="C1" s="11" t="s">
        <v>435</v>
      </c>
      <c r="D1" s="11" t="s">
        <v>436</v>
      </c>
      <c r="E1" s="11" t="s">
        <v>27</v>
      </c>
      <c r="F1" s="11" t="s">
        <v>29</v>
      </c>
      <c r="G1" s="11" t="s">
        <v>69</v>
      </c>
      <c r="H1" s="11" t="s">
        <v>437</v>
      </c>
      <c r="I1" s="11" t="s">
        <v>438</v>
      </c>
      <c r="J1" s="11" t="s">
        <v>75</v>
      </c>
      <c r="K1" s="11" t="s">
        <v>439</v>
      </c>
      <c r="L1" s="11" t="s">
        <v>440</v>
      </c>
      <c r="M1" s="11" t="s">
        <v>441</v>
      </c>
      <c r="N1" s="11" t="s">
        <v>76</v>
      </c>
      <c r="O1" s="11" t="s">
        <v>77</v>
      </c>
      <c r="P1" s="11" t="s">
        <v>78</v>
      </c>
      <c r="Q1" s="11" t="s">
        <v>79</v>
      </c>
      <c r="R1" s="11" t="s">
        <v>442</v>
      </c>
      <c r="S1" s="11" t="s">
        <v>443</v>
      </c>
    </row>
  </sheetData>
  <autoFilter ref="A1:S2"/>
  <dataValidations count="2">
    <dataValidation allowBlank="true" error="Choose one of: Yes, No (several projects), Unsure" errorStyle="stop" errorTitle="Pick from the list" operator="between" showDropDown="false" showErrorMessage="true" showInputMessage="false" sqref="E2" type="list">
      <formula1>"Yes,No (several projects),Unsure"</formula1>
      <formula2>0</formula2>
    </dataValidation>
    <dataValidation allowBlank="true" error="Choose one of: Phases of one development, Separate units or plants at one site, Re-filing or replacement, Unrelated projects, Other" errorStyle="stop" errorTitle="Pick from the list" operator="between" showDropDown="false" showErrorMessage="true" showInputMessage="false" sqref="F2" type="list">
      <formula1>"Phases of one development,Separate units or plants at one site,Re-filing or replacement,Unrelated projects,Other"</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1" topLeftCell="E2" activePane="bottomRight" state="frozen"/>
      <selection pane="topLeft" activeCell="A1" activeCellId="0" sqref="A1"/>
      <selection pane="topRight" activeCell="E1" activeCellId="0" sqref="E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26"/>
    <col collapsed="false" customWidth="true" hidden="false" outlineLevel="0" max="3" min="3" style="0" width="5"/>
    <col collapsed="false" customWidth="true" hidden="false" outlineLevel="0" max="4" min="4" style="0" width="34"/>
    <col collapsed="false" customWidth="true" hidden="false" outlineLevel="0" max="5" min="5" style="0" width="26"/>
    <col collapsed="false" customWidth="true" hidden="false" outlineLevel="0" max="6" min="6" style="0" width="11"/>
    <col collapsed="false" customWidth="true" hidden="false" outlineLevel="0" max="7" min="7" style="0" width="28"/>
    <col collapsed="false" customWidth="true" hidden="false" outlineLevel="0" max="8" min="8" style="0" width="30"/>
    <col collapsed="false" customWidth="true" hidden="false" outlineLevel="0" max="9" min="9" style="0" width="28"/>
    <col collapsed="false" customWidth="true" hidden="false" outlineLevel="0" max="10" min="10" style="0" width="10"/>
    <col collapsed="false" customWidth="true" hidden="false" outlineLevel="0" max="11" min="11" style="0" width="18"/>
    <col collapsed="false" customWidth="true" hidden="false" outlineLevel="0" max="12" min="12" style="0" width="16"/>
    <col collapsed="false" customWidth="true" hidden="false" outlineLevel="0" max="13" min="13" style="0" width="11"/>
    <col collapsed="false" customWidth="true" hidden="false" outlineLevel="0" max="15" min="14" style="0" width="26"/>
    <col collapsed="false" customWidth="true" hidden="false" outlineLevel="0" max="16" min="16" style="0" width="12"/>
    <col collapsed="false" customWidth="true" hidden="false" outlineLevel="0" max="17" min="17" style="0" width="22"/>
    <col collapsed="false" customWidth="true" hidden="false" outlineLevel="0" max="18" min="18" style="0" width="60"/>
  </cols>
  <sheetData>
    <row r="1" customFormat="false" ht="42" hidden="false" customHeight="true" outlineLevel="0" collapsed="false">
      <c r="A1" s="11" t="s">
        <v>65</v>
      </c>
      <c r="B1" s="11" t="s">
        <v>66</v>
      </c>
      <c r="C1" s="11" t="s">
        <v>444</v>
      </c>
      <c r="D1" s="11" t="s">
        <v>445</v>
      </c>
      <c r="E1" s="11" t="s">
        <v>446</v>
      </c>
      <c r="F1" s="11" t="s">
        <v>53</v>
      </c>
      <c r="G1" s="11" t="s">
        <v>447</v>
      </c>
      <c r="H1" s="11" t="s">
        <v>448</v>
      </c>
      <c r="I1" s="11" t="s">
        <v>449</v>
      </c>
      <c r="J1" s="11" t="s">
        <v>450</v>
      </c>
      <c r="K1" s="11" t="s">
        <v>451</v>
      </c>
      <c r="L1" s="11" t="s">
        <v>452</v>
      </c>
      <c r="M1" s="11" t="s">
        <v>453</v>
      </c>
      <c r="N1" s="11" t="s">
        <v>454</v>
      </c>
      <c r="O1" s="11" t="s">
        <v>455</v>
      </c>
      <c r="P1" s="11" t="s">
        <v>75</v>
      </c>
      <c r="Q1" s="11" t="s">
        <v>442</v>
      </c>
      <c r="R1" s="11" t="s">
        <v>443</v>
      </c>
    </row>
    <row r="2" customFormat="false" ht="30" hidden="false" customHeight="true" outlineLevel="0" collapsed="false">
      <c r="A2" s="12" t="s">
        <v>82</v>
      </c>
      <c r="B2" s="12" t="s">
        <v>456</v>
      </c>
      <c r="C2" s="12" t="n">
        <v>1</v>
      </c>
      <c r="D2" s="13" t="str">
        <f aca="false">HYPERLINK(BaseURL&amp;"/proposals/hashknife-energy-center-ii-llc-1v6cp4","Hashknife Energy Center II LLC")</f>
        <v>Hashknife Energy Center II LLC</v>
      </c>
      <c r="E2" s="12" t="s">
        <v>39</v>
      </c>
      <c r="F2" s="12" t="s">
        <v>86</v>
      </c>
      <c r="G2" s="12" t="s">
        <v>457</v>
      </c>
      <c r="H2" s="12" t="s">
        <v>83</v>
      </c>
      <c r="I2" s="14" t="s">
        <v>458</v>
      </c>
      <c r="J2" s="12" t="s">
        <v>459</v>
      </c>
      <c r="K2" s="12" t="s">
        <v>460</v>
      </c>
      <c r="L2" s="12" t="s">
        <v>461</v>
      </c>
      <c r="M2" s="12" t="s">
        <v>462</v>
      </c>
      <c r="N2" s="14" t="s">
        <v>87</v>
      </c>
      <c r="O2" s="14"/>
      <c r="P2" s="12" t="s">
        <v>88</v>
      </c>
      <c r="Q2" s="12" t="s">
        <v>463</v>
      </c>
      <c r="R2" s="12" t="s">
        <v>464</v>
      </c>
    </row>
    <row r="3" customFormat="false" ht="30" hidden="false" customHeight="true" outlineLevel="0" collapsed="false">
      <c r="A3" s="12" t="s">
        <v>82</v>
      </c>
      <c r="B3" s="12" t="s">
        <v>456</v>
      </c>
      <c r="C3" s="12" t="n">
        <v>2</v>
      </c>
      <c r="D3" s="13" t="str">
        <f aca="false">HYPERLINK(BaseURL&amp;"/proposals/hashknife-energy-center-ii-llc-6n3mg5","Hashknife Energy Center II LLC")</f>
        <v>Hashknife Energy Center II LLC</v>
      </c>
      <c r="E3" s="12" t="s">
        <v>465</v>
      </c>
      <c r="F3" s="12" t="s">
        <v>86</v>
      </c>
      <c r="G3" s="12" t="s">
        <v>466</v>
      </c>
      <c r="H3" s="12" t="s">
        <v>83</v>
      </c>
      <c r="I3" s="14" t="s">
        <v>458</v>
      </c>
      <c r="J3" s="12" t="s">
        <v>459</v>
      </c>
      <c r="K3" s="12" t="s">
        <v>467</v>
      </c>
      <c r="L3" s="12" t="s">
        <v>461</v>
      </c>
      <c r="M3" s="12" t="s">
        <v>462</v>
      </c>
      <c r="N3" s="14" t="s">
        <v>87</v>
      </c>
      <c r="O3" s="14"/>
      <c r="P3" s="12" t="s">
        <v>88</v>
      </c>
      <c r="Q3" s="12" t="s">
        <v>468</v>
      </c>
      <c r="R3" s="12" t="s">
        <v>469</v>
      </c>
    </row>
    <row r="4" customFormat="false" ht="30" hidden="false" customHeight="true" outlineLevel="0" collapsed="false">
      <c r="A4" s="12" t="s">
        <v>92</v>
      </c>
      <c r="B4" s="12" t="s">
        <v>470</v>
      </c>
      <c r="C4" s="12" t="n">
        <v>1</v>
      </c>
      <c r="D4" s="13" t="str">
        <f aca="false">HYPERLINK(BaseURL&amp;"/proposals/rexford-2-solar-farm-mz0sw0","Rexford 2 Solar Farm")</f>
        <v>Rexford 2 Solar Farm</v>
      </c>
      <c r="E4" s="12" t="s">
        <v>39</v>
      </c>
      <c r="F4" s="12" t="s">
        <v>86</v>
      </c>
      <c r="G4" s="12" t="s">
        <v>457</v>
      </c>
      <c r="H4" s="12" t="s">
        <v>83</v>
      </c>
      <c r="I4" s="14" t="s">
        <v>458</v>
      </c>
      <c r="J4" s="12" t="s">
        <v>459</v>
      </c>
      <c r="K4" s="12" t="s">
        <v>467</v>
      </c>
      <c r="L4" s="12" t="s">
        <v>471</v>
      </c>
      <c r="M4" s="12" t="s">
        <v>472</v>
      </c>
      <c r="N4" s="14" t="s">
        <v>95</v>
      </c>
      <c r="O4" s="14"/>
      <c r="P4" s="12" t="s">
        <v>96</v>
      </c>
      <c r="Q4" s="12" t="s">
        <v>473</v>
      </c>
      <c r="R4" s="12" t="s">
        <v>474</v>
      </c>
    </row>
    <row r="5" customFormat="false" ht="30" hidden="false" customHeight="true" outlineLevel="0" collapsed="false">
      <c r="A5" s="12" t="s">
        <v>92</v>
      </c>
      <c r="B5" s="12" t="s">
        <v>470</v>
      </c>
      <c r="C5" s="12" t="n">
        <v>2</v>
      </c>
      <c r="D5" s="13" t="str">
        <f aca="false">HYPERLINK(BaseURL&amp;"/proposals/rexford-2-solar-farm-1cqke0","Rexford 2 Solar Farm")</f>
        <v>Rexford 2 Solar Farm</v>
      </c>
      <c r="E5" s="12" t="s">
        <v>465</v>
      </c>
      <c r="F5" s="12" t="s">
        <v>86</v>
      </c>
      <c r="G5" s="12" t="s">
        <v>466</v>
      </c>
      <c r="H5" s="12" t="s">
        <v>83</v>
      </c>
      <c r="I5" s="14" t="s">
        <v>458</v>
      </c>
      <c r="J5" s="12" t="s">
        <v>459</v>
      </c>
      <c r="K5" s="12" t="s">
        <v>460</v>
      </c>
      <c r="L5" s="12" t="s">
        <v>471</v>
      </c>
      <c r="M5" s="12" t="s">
        <v>472</v>
      </c>
      <c r="N5" s="14" t="s">
        <v>95</v>
      </c>
      <c r="O5" s="14"/>
      <c r="P5" s="12" t="s">
        <v>96</v>
      </c>
      <c r="Q5" s="12" t="s">
        <v>475</v>
      </c>
      <c r="R5" s="12" t="s">
        <v>476</v>
      </c>
    </row>
    <row r="6" customFormat="false" ht="30" hidden="false" customHeight="true" outlineLevel="0" collapsed="false">
      <c r="A6" s="12" t="s">
        <v>99</v>
      </c>
      <c r="B6" s="12" t="s">
        <v>477</v>
      </c>
      <c r="C6" s="12" t="n">
        <v>1</v>
      </c>
      <c r="D6" s="13" t="str">
        <f aca="false">HYPERLINK(BaseURL&amp;"/proposals/harryoung-pv-and-bess-31rtw6","Harryoung PV and BESS")</f>
        <v>Harryoung PV and BESS</v>
      </c>
      <c r="E6" s="12" t="s">
        <v>39</v>
      </c>
      <c r="F6" s="12" t="s">
        <v>86</v>
      </c>
      <c r="G6" s="12" t="s">
        <v>457</v>
      </c>
      <c r="H6" s="12" t="s">
        <v>83</v>
      </c>
      <c r="I6" s="14" t="s">
        <v>458</v>
      </c>
      <c r="J6" s="12" t="s">
        <v>478</v>
      </c>
      <c r="K6" s="12" t="s">
        <v>460</v>
      </c>
      <c r="L6" s="12" t="s">
        <v>479</v>
      </c>
      <c r="M6" s="12" t="s">
        <v>480</v>
      </c>
      <c r="N6" s="14" t="s">
        <v>102</v>
      </c>
      <c r="O6" s="14"/>
      <c r="P6" s="12" t="s">
        <v>103</v>
      </c>
      <c r="Q6" s="12" t="s">
        <v>481</v>
      </c>
      <c r="R6" s="12" t="s">
        <v>482</v>
      </c>
    </row>
    <row r="7" customFormat="false" ht="30" hidden="false" customHeight="true" outlineLevel="0" collapsed="false">
      <c r="A7" s="12" t="s">
        <v>99</v>
      </c>
      <c r="B7" s="12" t="s">
        <v>477</v>
      </c>
      <c r="C7" s="12" t="n">
        <v>2</v>
      </c>
      <c r="D7" s="13" t="str">
        <f aca="false">HYPERLINK(BaseURL&amp;"/proposals/harryoung-pv-and-bess-jd65gq","Harryoung PV and BESS")</f>
        <v>Harryoung PV and BESS</v>
      </c>
      <c r="E7" s="12" t="s">
        <v>465</v>
      </c>
      <c r="F7" s="12" t="s">
        <v>86</v>
      </c>
      <c r="G7" s="12" t="s">
        <v>466</v>
      </c>
      <c r="H7" s="12" t="s">
        <v>83</v>
      </c>
      <c r="I7" s="14" t="s">
        <v>458</v>
      </c>
      <c r="J7" s="12" t="s">
        <v>478</v>
      </c>
      <c r="K7" s="12" t="s">
        <v>467</v>
      </c>
      <c r="L7" s="12" t="s">
        <v>479</v>
      </c>
      <c r="M7" s="12" t="s">
        <v>480</v>
      </c>
      <c r="N7" s="14" t="s">
        <v>102</v>
      </c>
      <c r="O7" s="14"/>
      <c r="P7" s="12" t="s">
        <v>103</v>
      </c>
      <c r="Q7" s="12" t="s">
        <v>483</v>
      </c>
      <c r="R7" s="12" t="s">
        <v>484</v>
      </c>
    </row>
    <row r="8" customFormat="false" ht="30" hidden="false" customHeight="true" outlineLevel="0" collapsed="false">
      <c r="A8" s="12" t="s">
        <v>106</v>
      </c>
      <c r="B8" s="12" t="s">
        <v>485</v>
      </c>
      <c r="C8" s="12" t="n">
        <v>1</v>
      </c>
      <c r="D8" s="13" t="str">
        <f aca="false">HYPERLINK(BaseURL&amp;"/proposals/energy-center-hxtasw","Energy Center")</f>
        <v>Energy Center</v>
      </c>
      <c r="E8" s="12" t="s">
        <v>39</v>
      </c>
      <c r="F8" s="12" t="s">
        <v>86</v>
      </c>
      <c r="G8" s="12" t="s">
        <v>457</v>
      </c>
      <c r="H8" s="12" t="s">
        <v>83</v>
      </c>
      <c r="I8" s="14" t="s">
        <v>458</v>
      </c>
      <c r="J8" s="12" t="s">
        <v>486</v>
      </c>
      <c r="K8" s="12" t="s">
        <v>487</v>
      </c>
      <c r="L8" s="12" t="s">
        <v>471</v>
      </c>
      <c r="M8" s="12" t="s">
        <v>472</v>
      </c>
      <c r="N8" s="14" t="s">
        <v>109</v>
      </c>
      <c r="O8" s="14"/>
      <c r="P8" s="12" t="s">
        <v>110</v>
      </c>
      <c r="Q8" s="12" t="s">
        <v>488</v>
      </c>
      <c r="R8" s="12" t="s">
        <v>489</v>
      </c>
    </row>
    <row r="9" customFormat="false" ht="30" hidden="false" customHeight="true" outlineLevel="0" collapsed="false">
      <c r="A9" s="12" t="s">
        <v>106</v>
      </c>
      <c r="B9" s="12" t="s">
        <v>485</v>
      </c>
      <c r="C9" s="12" t="n">
        <v>2</v>
      </c>
      <c r="D9" s="13" t="str">
        <f aca="false">HYPERLINK(BaseURL&amp;"/proposals/energy-center-hbs6sh","Energy Center")</f>
        <v>Energy Center</v>
      </c>
      <c r="E9" s="12" t="s">
        <v>465</v>
      </c>
      <c r="F9" s="12" t="s">
        <v>86</v>
      </c>
      <c r="G9" s="12" t="s">
        <v>466</v>
      </c>
      <c r="H9" s="12" t="s">
        <v>83</v>
      </c>
      <c r="I9" s="14" t="s">
        <v>458</v>
      </c>
      <c r="J9" s="12" t="s">
        <v>486</v>
      </c>
      <c r="K9" s="12" t="s">
        <v>487</v>
      </c>
      <c r="L9" s="12" t="s">
        <v>471</v>
      </c>
      <c r="M9" s="12" t="s">
        <v>472</v>
      </c>
      <c r="N9" s="14" t="s">
        <v>109</v>
      </c>
      <c r="O9" s="14"/>
      <c r="P9" s="12" t="s">
        <v>110</v>
      </c>
      <c r="Q9" s="12" t="s">
        <v>490</v>
      </c>
      <c r="R9" s="12" t="s">
        <v>491</v>
      </c>
    </row>
    <row r="10" customFormat="false" ht="30" hidden="false" customHeight="true" outlineLevel="0" collapsed="false">
      <c r="A10" s="12" t="s">
        <v>106</v>
      </c>
      <c r="B10" s="12" t="s">
        <v>485</v>
      </c>
      <c r="C10" s="12" t="n">
        <v>3</v>
      </c>
      <c r="D10" s="13" t="str">
        <f aca="false">HYPERLINK(BaseURL&amp;"/proposals/energy-center-11vh3r","Energy Center")</f>
        <v>Energy Center</v>
      </c>
      <c r="E10" s="12" t="s">
        <v>465</v>
      </c>
      <c r="F10" s="12" t="s">
        <v>86</v>
      </c>
      <c r="G10" s="12" t="s">
        <v>466</v>
      </c>
      <c r="H10" s="12" t="s">
        <v>83</v>
      </c>
      <c r="I10" s="14" t="s">
        <v>458</v>
      </c>
      <c r="J10" s="12" t="s">
        <v>486</v>
      </c>
      <c r="K10" s="12" t="s">
        <v>487</v>
      </c>
      <c r="L10" s="12" t="s">
        <v>471</v>
      </c>
      <c r="M10" s="12" t="s">
        <v>472</v>
      </c>
      <c r="N10" s="14" t="s">
        <v>109</v>
      </c>
      <c r="O10" s="14"/>
      <c r="P10" s="12" t="s">
        <v>110</v>
      </c>
      <c r="Q10" s="12" t="s">
        <v>492</v>
      </c>
      <c r="R10" s="12" t="s">
        <v>493</v>
      </c>
    </row>
    <row r="11" customFormat="false" ht="30" hidden="false" customHeight="true" outlineLevel="0" collapsed="false">
      <c r="A11" s="12" t="s">
        <v>113</v>
      </c>
      <c r="B11" s="12" t="s">
        <v>494</v>
      </c>
      <c r="C11" s="12" t="n">
        <v>1</v>
      </c>
      <c r="D11" s="13" t="str">
        <f aca="false">HYPERLINK(BaseURL&amp;"/proposals/snipatuit-road-solar-x95nxq","Snipatuit Road Solar")</f>
        <v>Snipatuit Road Solar</v>
      </c>
      <c r="E11" s="12" t="s">
        <v>39</v>
      </c>
      <c r="F11" s="12" t="s">
        <v>86</v>
      </c>
      <c r="G11" s="12" t="s">
        <v>457</v>
      </c>
      <c r="H11" s="12" t="s">
        <v>83</v>
      </c>
      <c r="I11" s="14" t="s">
        <v>458</v>
      </c>
      <c r="J11" s="12" t="s">
        <v>495</v>
      </c>
      <c r="K11" s="12" t="s">
        <v>460</v>
      </c>
      <c r="L11" s="12" t="s">
        <v>479</v>
      </c>
      <c r="M11" s="12" t="s">
        <v>496</v>
      </c>
      <c r="N11" s="14" t="s">
        <v>116</v>
      </c>
      <c r="O11" s="14"/>
      <c r="P11" s="12" t="s">
        <v>117</v>
      </c>
      <c r="Q11" s="12" t="s">
        <v>497</v>
      </c>
      <c r="R11" s="12" t="s">
        <v>498</v>
      </c>
    </row>
    <row r="12" customFormat="false" ht="30" hidden="false" customHeight="true" outlineLevel="0" collapsed="false">
      <c r="A12" s="12" t="s">
        <v>113</v>
      </c>
      <c r="B12" s="12" t="s">
        <v>494</v>
      </c>
      <c r="C12" s="12" t="n">
        <v>2</v>
      </c>
      <c r="D12" s="13" t="str">
        <f aca="false">HYPERLINK(BaseURL&amp;"/proposals/snipatuit-road-solar-p0hmdb","Snipatuit Road Solar")</f>
        <v>Snipatuit Road Solar</v>
      </c>
      <c r="E12" s="12" t="s">
        <v>465</v>
      </c>
      <c r="F12" s="12" t="s">
        <v>86</v>
      </c>
      <c r="G12" s="12" t="s">
        <v>466</v>
      </c>
      <c r="H12" s="12" t="s">
        <v>83</v>
      </c>
      <c r="I12" s="14" t="s">
        <v>458</v>
      </c>
      <c r="J12" s="12" t="s">
        <v>495</v>
      </c>
      <c r="K12" s="12" t="s">
        <v>467</v>
      </c>
      <c r="L12" s="12" t="s">
        <v>479</v>
      </c>
      <c r="M12" s="12" t="s">
        <v>496</v>
      </c>
      <c r="N12" s="14" t="s">
        <v>116</v>
      </c>
      <c r="O12" s="14"/>
      <c r="P12" s="12" t="s">
        <v>117</v>
      </c>
      <c r="Q12" s="12" t="s">
        <v>499</v>
      </c>
      <c r="R12" s="12" t="s">
        <v>500</v>
      </c>
    </row>
    <row r="13" customFormat="false" ht="30" hidden="false" customHeight="true" outlineLevel="0" collapsed="false">
      <c r="A13" s="12" t="s">
        <v>120</v>
      </c>
      <c r="B13" s="12" t="s">
        <v>501</v>
      </c>
      <c r="C13" s="12" t="n">
        <v>1</v>
      </c>
      <c r="D13" s="13" t="str">
        <f aca="false">HYPERLINK(BaseURL&amp;"/proposals/libra-solar-affan0","Libra Solar")</f>
        <v>Libra Solar</v>
      </c>
      <c r="E13" s="12" t="s">
        <v>39</v>
      </c>
      <c r="F13" s="12" t="s">
        <v>86</v>
      </c>
      <c r="G13" s="12" t="s">
        <v>457</v>
      </c>
      <c r="H13" s="12" t="s">
        <v>83</v>
      </c>
      <c r="I13" s="14" t="s">
        <v>458</v>
      </c>
      <c r="J13" s="12" t="s">
        <v>502</v>
      </c>
      <c r="K13" s="12" t="s">
        <v>460</v>
      </c>
      <c r="L13" s="12" t="s">
        <v>461</v>
      </c>
      <c r="M13" s="12" t="s">
        <v>503</v>
      </c>
      <c r="N13" s="14" t="s">
        <v>123</v>
      </c>
      <c r="O13" s="14"/>
      <c r="P13" s="12" t="s">
        <v>124</v>
      </c>
      <c r="Q13" s="12" t="s">
        <v>504</v>
      </c>
      <c r="R13" s="12" t="s">
        <v>505</v>
      </c>
    </row>
    <row r="14" customFormat="false" ht="30" hidden="false" customHeight="true" outlineLevel="0" collapsed="false">
      <c r="A14" s="12" t="s">
        <v>120</v>
      </c>
      <c r="B14" s="12" t="s">
        <v>501</v>
      </c>
      <c r="C14" s="12" t="n">
        <v>2</v>
      </c>
      <c r="D14" s="13" t="str">
        <f aca="false">HYPERLINK(BaseURL&amp;"/proposals/libra-solar-6p5p0f","Libra Solar")</f>
        <v>Libra Solar</v>
      </c>
      <c r="E14" s="12" t="s">
        <v>465</v>
      </c>
      <c r="F14" s="12" t="s">
        <v>86</v>
      </c>
      <c r="G14" s="12" t="s">
        <v>466</v>
      </c>
      <c r="H14" s="12" t="s">
        <v>83</v>
      </c>
      <c r="I14" s="14" t="s">
        <v>458</v>
      </c>
      <c r="J14" s="12" t="s">
        <v>502</v>
      </c>
      <c r="K14" s="12" t="s">
        <v>467</v>
      </c>
      <c r="L14" s="12" t="s">
        <v>461</v>
      </c>
      <c r="M14" s="12" t="s">
        <v>503</v>
      </c>
      <c r="N14" s="14" t="s">
        <v>123</v>
      </c>
      <c r="O14" s="14"/>
      <c r="P14" s="12" t="s">
        <v>124</v>
      </c>
      <c r="Q14" s="12" t="s">
        <v>506</v>
      </c>
      <c r="R14" s="12" t="s">
        <v>507</v>
      </c>
    </row>
    <row r="15" customFormat="false" ht="30" hidden="false" customHeight="true" outlineLevel="0" collapsed="false">
      <c r="A15" s="12" t="s">
        <v>127</v>
      </c>
      <c r="B15" s="12" t="s">
        <v>508</v>
      </c>
      <c r="C15" s="12" t="n">
        <v>1</v>
      </c>
      <c r="D15" s="13" t="str">
        <f aca="false">HYPERLINK(BaseURL&amp;"/proposals/project-matador-gas-plant-pmg-sh1kcw","Project Matador Gas Plant (PMG)")</f>
        <v>Project Matador Gas Plant (PMG)</v>
      </c>
      <c r="E15" s="12" t="s">
        <v>39</v>
      </c>
      <c r="F15" s="12" t="s">
        <v>86</v>
      </c>
      <c r="G15" s="12" t="s">
        <v>457</v>
      </c>
      <c r="H15" s="12" t="s">
        <v>83</v>
      </c>
      <c r="I15" s="14" t="s">
        <v>458</v>
      </c>
      <c r="J15" s="12" t="s">
        <v>509</v>
      </c>
      <c r="K15" s="12" t="s">
        <v>510</v>
      </c>
      <c r="L15" s="12" t="s">
        <v>471</v>
      </c>
      <c r="M15" s="12" t="s">
        <v>480</v>
      </c>
      <c r="N15" s="14" t="s">
        <v>130</v>
      </c>
      <c r="O15" s="14"/>
      <c r="P15" s="12" t="s">
        <v>131</v>
      </c>
      <c r="Q15" s="12" t="s">
        <v>511</v>
      </c>
      <c r="R15" s="12" t="s">
        <v>512</v>
      </c>
    </row>
    <row r="16" customFormat="false" ht="30" hidden="false" customHeight="true" outlineLevel="0" collapsed="false">
      <c r="A16" s="12" t="s">
        <v>127</v>
      </c>
      <c r="B16" s="12" t="s">
        <v>508</v>
      </c>
      <c r="C16" s="12" t="n">
        <v>2</v>
      </c>
      <c r="D16" s="13" t="str">
        <f aca="false">HYPERLINK(BaseURL&amp;"/proposals/project-matador-gas-plant-pmg-z7qggn","Project Matador Gas Plant (PMG)")</f>
        <v>Project Matador Gas Plant (PMG)</v>
      </c>
      <c r="E16" s="12" t="s">
        <v>465</v>
      </c>
      <c r="F16" s="12" t="s">
        <v>86</v>
      </c>
      <c r="G16" s="12" t="s">
        <v>466</v>
      </c>
      <c r="H16" s="12" t="s">
        <v>83</v>
      </c>
      <c r="I16" s="14" t="s">
        <v>458</v>
      </c>
      <c r="J16" s="12" t="s">
        <v>509</v>
      </c>
      <c r="K16" s="12" t="s">
        <v>510</v>
      </c>
      <c r="L16" s="12" t="s">
        <v>471</v>
      </c>
      <c r="M16" s="12" t="s">
        <v>480</v>
      </c>
      <c r="N16" s="14" t="s">
        <v>130</v>
      </c>
      <c r="O16" s="14"/>
      <c r="P16" s="12" t="s">
        <v>131</v>
      </c>
      <c r="Q16" s="12" t="s">
        <v>513</v>
      </c>
      <c r="R16" s="12" t="s">
        <v>514</v>
      </c>
    </row>
    <row r="17" customFormat="false" ht="30" hidden="false" customHeight="true" outlineLevel="0" collapsed="false">
      <c r="A17" s="12" t="s">
        <v>127</v>
      </c>
      <c r="B17" s="12" t="s">
        <v>508</v>
      </c>
      <c r="C17" s="12" t="n">
        <v>3</v>
      </c>
      <c r="D17" s="13" t="str">
        <f aca="false">HYPERLINK(BaseURL&amp;"/proposals/project-matador-gas-plant-pmg-rspaej","Project Matador Gas Plant (PMG)")</f>
        <v>Project Matador Gas Plant (PMG)</v>
      </c>
      <c r="E17" s="12" t="s">
        <v>465</v>
      </c>
      <c r="F17" s="12" t="s">
        <v>86</v>
      </c>
      <c r="G17" s="12" t="s">
        <v>466</v>
      </c>
      <c r="H17" s="12" t="s">
        <v>83</v>
      </c>
      <c r="I17" s="14" t="s">
        <v>458</v>
      </c>
      <c r="J17" s="12" t="s">
        <v>509</v>
      </c>
      <c r="K17" s="12" t="s">
        <v>510</v>
      </c>
      <c r="L17" s="12" t="s">
        <v>471</v>
      </c>
      <c r="M17" s="12" t="s">
        <v>480</v>
      </c>
      <c r="N17" s="14" t="s">
        <v>130</v>
      </c>
      <c r="O17" s="14"/>
      <c r="P17" s="12" t="s">
        <v>131</v>
      </c>
      <c r="Q17" s="12" t="s">
        <v>515</v>
      </c>
      <c r="R17" s="12" t="s">
        <v>516</v>
      </c>
    </row>
    <row r="18" customFormat="false" ht="30" hidden="false" customHeight="true" outlineLevel="0" collapsed="false">
      <c r="A18" s="12" t="s">
        <v>127</v>
      </c>
      <c r="B18" s="12" t="s">
        <v>508</v>
      </c>
      <c r="C18" s="12" t="n">
        <v>4</v>
      </c>
      <c r="D18" s="13" t="str">
        <f aca="false">HYPERLINK(BaseURL&amp;"/proposals/project-matador-gas-plant-pmg-dkh7n0","Project Matador Gas Plant (PMG)")</f>
        <v>Project Matador Gas Plant (PMG)</v>
      </c>
      <c r="E18" s="12" t="s">
        <v>465</v>
      </c>
      <c r="F18" s="12" t="s">
        <v>86</v>
      </c>
      <c r="G18" s="12" t="s">
        <v>466</v>
      </c>
      <c r="H18" s="12" t="s">
        <v>83</v>
      </c>
      <c r="I18" s="14" t="s">
        <v>458</v>
      </c>
      <c r="J18" s="12" t="s">
        <v>509</v>
      </c>
      <c r="K18" s="12" t="s">
        <v>510</v>
      </c>
      <c r="L18" s="12" t="s">
        <v>471</v>
      </c>
      <c r="M18" s="12" t="s">
        <v>480</v>
      </c>
      <c r="N18" s="14" t="s">
        <v>130</v>
      </c>
      <c r="O18" s="14"/>
      <c r="P18" s="12" t="s">
        <v>131</v>
      </c>
      <c r="Q18" s="12" t="s">
        <v>517</v>
      </c>
      <c r="R18" s="12" t="s">
        <v>518</v>
      </c>
    </row>
    <row r="19" customFormat="false" ht="30" hidden="false" customHeight="true" outlineLevel="0" collapsed="false">
      <c r="A19" s="12" t="s">
        <v>127</v>
      </c>
      <c r="B19" s="12" t="s">
        <v>508</v>
      </c>
      <c r="C19" s="12" t="n">
        <v>5</v>
      </c>
      <c r="D19" s="13" t="str">
        <f aca="false">HYPERLINK(BaseURL&amp;"/proposals/project-matador-gas-plant-pmg-r1pcen","Project Matador Gas Plant (PMG)")</f>
        <v>Project Matador Gas Plant (PMG)</v>
      </c>
      <c r="E19" s="12" t="s">
        <v>465</v>
      </c>
      <c r="F19" s="12" t="s">
        <v>86</v>
      </c>
      <c r="G19" s="12" t="s">
        <v>466</v>
      </c>
      <c r="H19" s="12" t="s">
        <v>83</v>
      </c>
      <c r="I19" s="14" t="s">
        <v>458</v>
      </c>
      <c r="J19" s="12" t="s">
        <v>509</v>
      </c>
      <c r="K19" s="12" t="s">
        <v>510</v>
      </c>
      <c r="L19" s="12" t="s">
        <v>471</v>
      </c>
      <c r="M19" s="12" t="s">
        <v>480</v>
      </c>
      <c r="N19" s="14" t="s">
        <v>130</v>
      </c>
      <c r="O19" s="14"/>
      <c r="P19" s="12" t="s">
        <v>131</v>
      </c>
      <c r="Q19" s="12" t="s">
        <v>519</v>
      </c>
      <c r="R19" s="12" t="s">
        <v>520</v>
      </c>
    </row>
    <row r="20" customFormat="false" ht="30" hidden="false" customHeight="true" outlineLevel="0" collapsed="false">
      <c r="A20" s="12" t="s">
        <v>127</v>
      </c>
      <c r="B20" s="12" t="s">
        <v>508</v>
      </c>
      <c r="C20" s="12" t="n">
        <v>6</v>
      </c>
      <c r="D20" s="13" t="str">
        <f aca="false">HYPERLINK(BaseURL&amp;"/proposals/project-matador-gas-plant-pmg-jwz1ck","Project Matador Gas Plant (PMG)")</f>
        <v>Project Matador Gas Plant (PMG)</v>
      </c>
      <c r="E20" s="12" t="s">
        <v>465</v>
      </c>
      <c r="F20" s="12" t="s">
        <v>86</v>
      </c>
      <c r="G20" s="12" t="s">
        <v>466</v>
      </c>
      <c r="H20" s="12" t="s">
        <v>83</v>
      </c>
      <c r="I20" s="14" t="s">
        <v>458</v>
      </c>
      <c r="J20" s="12" t="s">
        <v>509</v>
      </c>
      <c r="K20" s="12" t="s">
        <v>510</v>
      </c>
      <c r="L20" s="12" t="s">
        <v>471</v>
      </c>
      <c r="M20" s="12" t="s">
        <v>480</v>
      </c>
      <c r="N20" s="14" t="s">
        <v>130</v>
      </c>
      <c r="O20" s="14"/>
      <c r="P20" s="12" t="s">
        <v>131</v>
      </c>
      <c r="Q20" s="12" t="s">
        <v>521</v>
      </c>
      <c r="R20" s="12" t="s">
        <v>522</v>
      </c>
    </row>
    <row r="21" customFormat="false" ht="30" hidden="false" customHeight="true" outlineLevel="0" collapsed="false">
      <c r="A21" s="12" t="s">
        <v>127</v>
      </c>
      <c r="B21" s="12" t="s">
        <v>508</v>
      </c>
      <c r="C21" s="12" t="n">
        <v>7</v>
      </c>
      <c r="D21" s="13" t="str">
        <f aca="false">HYPERLINK(BaseURL&amp;"/proposals/project-matador-gas-plant-pmg-px3jc2","Project Matador Gas Plant (PMG)")</f>
        <v>Project Matador Gas Plant (PMG)</v>
      </c>
      <c r="E21" s="12" t="s">
        <v>465</v>
      </c>
      <c r="F21" s="12" t="s">
        <v>86</v>
      </c>
      <c r="G21" s="12" t="s">
        <v>466</v>
      </c>
      <c r="H21" s="12" t="s">
        <v>83</v>
      </c>
      <c r="I21" s="14" t="s">
        <v>458</v>
      </c>
      <c r="J21" s="12" t="s">
        <v>523</v>
      </c>
      <c r="K21" s="12" t="s">
        <v>510</v>
      </c>
      <c r="L21" s="12" t="s">
        <v>471</v>
      </c>
      <c r="M21" s="12" t="s">
        <v>480</v>
      </c>
      <c r="N21" s="14" t="s">
        <v>130</v>
      </c>
      <c r="O21" s="14"/>
      <c r="P21" s="12" t="s">
        <v>131</v>
      </c>
      <c r="Q21" s="12" t="s">
        <v>524</v>
      </c>
      <c r="R21" s="12" t="s">
        <v>525</v>
      </c>
    </row>
    <row r="22" customFormat="false" ht="30" hidden="false" customHeight="true" outlineLevel="0" collapsed="false">
      <c r="A22" s="12" t="s">
        <v>127</v>
      </c>
      <c r="B22" s="12" t="s">
        <v>508</v>
      </c>
      <c r="C22" s="12" t="n">
        <v>8</v>
      </c>
      <c r="D22" s="13" t="str">
        <f aca="false">HYPERLINK(BaseURL&amp;"/proposals/project-matador-gas-plant-pmg-bwdv31","Project Matador Gas Plant (PMG)")</f>
        <v>Project Matador Gas Plant (PMG)</v>
      </c>
      <c r="E22" s="12" t="s">
        <v>465</v>
      </c>
      <c r="F22" s="12" t="s">
        <v>86</v>
      </c>
      <c r="G22" s="12" t="s">
        <v>466</v>
      </c>
      <c r="H22" s="12" t="s">
        <v>83</v>
      </c>
      <c r="I22" s="14" t="s">
        <v>458</v>
      </c>
      <c r="J22" s="12" t="s">
        <v>523</v>
      </c>
      <c r="K22" s="12" t="s">
        <v>510</v>
      </c>
      <c r="L22" s="12" t="s">
        <v>471</v>
      </c>
      <c r="M22" s="12" t="s">
        <v>480</v>
      </c>
      <c r="N22" s="14" t="s">
        <v>130</v>
      </c>
      <c r="O22" s="14"/>
      <c r="P22" s="12" t="s">
        <v>131</v>
      </c>
      <c r="Q22" s="12" t="s">
        <v>526</v>
      </c>
      <c r="R22" s="12" t="s">
        <v>527</v>
      </c>
    </row>
    <row r="23" customFormat="false" ht="30" hidden="false" customHeight="true" outlineLevel="0" collapsed="false">
      <c r="A23" s="12" t="s">
        <v>127</v>
      </c>
      <c r="B23" s="12" t="s">
        <v>508</v>
      </c>
      <c r="C23" s="12" t="n">
        <v>9</v>
      </c>
      <c r="D23" s="13" t="str">
        <f aca="false">HYPERLINK(BaseURL&amp;"/proposals/project-matador-gas-plant-pmg-gg6bz0","Project Matador Gas Plant (PMG)")</f>
        <v>Project Matador Gas Plant (PMG)</v>
      </c>
      <c r="E23" s="12" t="s">
        <v>465</v>
      </c>
      <c r="F23" s="12" t="s">
        <v>86</v>
      </c>
      <c r="G23" s="12" t="s">
        <v>466</v>
      </c>
      <c r="H23" s="12" t="s">
        <v>83</v>
      </c>
      <c r="I23" s="14" t="s">
        <v>458</v>
      </c>
      <c r="J23" s="12" t="s">
        <v>523</v>
      </c>
      <c r="K23" s="12" t="s">
        <v>510</v>
      </c>
      <c r="L23" s="12" t="s">
        <v>471</v>
      </c>
      <c r="M23" s="12" t="s">
        <v>480</v>
      </c>
      <c r="N23" s="14" t="s">
        <v>130</v>
      </c>
      <c r="O23" s="14"/>
      <c r="P23" s="12" t="s">
        <v>131</v>
      </c>
      <c r="Q23" s="12" t="s">
        <v>528</v>
      </c>
      <c r="R23" s="12" t="s">
        <v>529</v>
      </c>
    </row>
    <row r="24" customFormat="false" ht="30" hidden="false" customHeight="true" outlineLevel="0" collapsed="false">
      <c r="A24" s="12" t="s">
        <v>127</v>
      </c>
      <c r="B24" s="12" t="s">
        <v>508</v>
      </c>
      <c r="C24" s="12" t="n">
        <v>10</v>
      </c>
      <c r="D24" s="13" t="str">
        <f aca="false">HYPERLINK(BaseURL&amp;"/proposals/project-matador-gas-plant-pmg-dks90f","Project Matador Gas Plant (PMG)")</f>
        <v>Project Matador Gas Plant (PMG)</v>
      </c>
      <c r="E24" s="12" t="s">
        <v>465</v>
      </c>
      <c r="F24" s="12" t="s">
        <v>86</v>
      </c>
      <c r="G24" s="12" t="s">
        <v>466</v>
      </c>
      <c r="H24" s="12" t="s">
        <v>83</v>
      </c>
      <c r="I24" s="14" t="s">
        <v>458</v>
      </c>
      <c r="J24" s="12" t="s">
        <v>523</v>
      </c>
      <c r="K24" s="12" t="s">
        <v>510</v>
      </c>
      <c r="L24" s="12" t="s">
        <v>471</v>
      </c>
      <c r="M24" s="12" t="s">
        <v>480</v>
      </c>
      <c r="N24" s="14" t="s">
        <v>130</v>
      </c>
      <c r="O24" s="14"/>
      <c r="P24" s="12" t="s">
        <v>131</v>
      </c>
      <c r="Q24" s="12" t="s">
        <v>530</v>
      </c>
      <c r="R24" s="12" t="s">
        <v>531</v>
      </c>
    </row>
    <row r="25" customFormat="false" ht="30" hidden="false" customHeight="true" outlineLevel="0" collapsed="false">
      <c r="A25" s="12" t="s">
        <v>127</v>
      </c>
      <c r="B25" s="12" t="s">
        <v>508</v>
      </c>
      <c r="C25" s="12" t="n">
        <v>11</v>
      </c>
      <c r="D25" s="13" t="str">
        <f aca="false">HYPERLINK(BaseURL&amp;"/proposals/project-matador-gas-plant-pmg-kxwt3r","Project Matador Gas Plant (PMG)")</f>
        <v>Project Matador Gas Plant (PMG)</v>
      </c>
      <c r="E25" s="12" t="s">
        <v>465</v>
      </c>
      <c r="F25" s="12" t="s">
        <v>86</v>
      </c>
      <c r="G25" s="12" t="s">
        <v>466</v>
      </c>
      <c r="H25" s="12" t="s">
        <v>83</v>
      </c>
      <c r="I25" s="14" t="s">
        <v>458</v>
      </c>
      <c r="J25" s="12" t="s">
        <v>523</v>
      </c>
      <c r="K25" s="12" t="s">
        <v>510</v>
      </c>
      <c r="L25" s="12" t="s">
        <v>471</v>
      </c>
      <c r="M25" s="12" t="s">
        <v>480</v>
      </c>
      <c r="N25" s="14" t="s">
        <v>130</v>
      </c>
      <c r="O25" s="14"/>
      <c r="P25" s="12" t="s">
        <v>131</v>
      </c>
      <c r="Q25" s="12" t="s">
        <v>532</v>
      </c>
      <c r="R25" s="12" t="s">
        <v>533</v>
      </c>
    </row>
    <row r="26" customFormat="false" ht="30" hidden="false" customHeight="true" outlineLevel="0" collapsed="false">
      <c r="A26" s="12" t="s">
        <v>127</v>
      </c>
      <c r="B26" s="12" t="s">
        <v>508</v>
      </c>
      <c r="C26" s="12" t="n">
        <v>12</v>
      </c>
      <c r="D26" s="13" t="str">
        <f aca="false">HYPERLINK(BaseURL&amp;"/proposals/project-matador-gas-plant-pmg-n491nt","Project Matador Gas Plant (PMG)")</f>
        <v>Project Matador Gas Plant (PMG)</v>
      </c>
      <c r="E26" s="12" t="s">
        <v>465</v>
      </c>
      <c r="F26" s="12" t="s">
        <v>86</v>
      </c>
      <c r="G26" s="12" t="s">
        <v>466</v>
      </c>
      <c r="H26" s="12" t="s">
        <v>83</v>
      </c>
      <c r="I26" s="14" t="s">
        <v>458</v>
      </c>
      <c r="J26" s="12" t="s">
        <v>523</v>
      </c>
      <c r="K26" s="12" t="s">
        <v>510</v>
      </c>
      <c r="L26" s="12" t="s">
        <v>471</v>
      </c>
      <c r="M26" s="12" t="s">
        <v>480</v>
      </c>
      <c r="N26" s="14" t="s">
        <v>130</v>
      </c>
      <c r="O26" s="14"/>
      <c r="P26" s="12" t="s">
        <v>131</v>
      </c>
      <c r="Q26" s="12" t="s">
        <v>534</v>
      </c>
      <c r="R26" s="12" t="s">
        <v>535</v>
      </c>
    </row>
    <row r="27" customFormat="false" ht="30" hidden="false" customHeight="true" outlineLevel="0" collapsed="false">
      <c r="A27" s="12" t="s">
        <v>127</v>
      </c>
      <c r="B27" s="12" t="s">
        <v>508</v>
      </c>
      <c r="C27" s="12" t="n">
        <v>13</v>
      </c>
      <c r="D27" s="13" t="str">
        <f aca="false">HYPERLINK(BaseURL&amp;"/proposals/project-matador-gas-plant-pmg-nm2k4d","Project Matador Gas Plant (PMG)")</f>
        <v>Project Matador Gas Plant (PMG)</v>
      </c>
      <c r="E27" s="12" t="s">
        <v>465</v>
      </c>
      <c r="F27" s="12" t="s">
        <v>86</v>
      </c>
      <c r="G27" s="12" t="s">
        <v>466</v>
      </c>
      <c r="H27" s="12" t="s">
        <v>83</v>
      </c>
      <c r="I27" s="14" t="s">
        <v>458</v>
      </c>
      <c r="J27" s="12" t="s">
        <v>523</v>
      </c>
      <c r="K27" s="12" t="s">
        <v>510</v>
      </c>
      <c r="L27" s="12" t="s">
        <v>471</v>
      </c>
      <c r="M27" s="12" t="s">
        <v>480</v>
      </c>
      <c r="N27" s="14" t="s">
        <v>130</v>
      </c>
      <c r="O27" s="14"/>
      <c r="P27" s="12" t="s">
        <v>131</v>
      </c>
      <c r="Q27" s="12" t="s">
        <v>536</v>
      </c>
      <c r="R27" s="12" t="s">
        <v>537</v>
      </c>
    </row>
    <row r="28" customFormat="false" ht="30" hidden="false" customHeight="true" outlineLevel="0" collapsed="false">
      <c r="A28" s="12" t="s">
        <v>127</v>
      </c>
      <c r="B28" s="12" t="s">
        <v>508</v>
      </c>
      <c r="C28" s="12" t="n">
        <v>14</v>
      </c>
      <c r="D28" s="13" t="str">
        <f aca="false">HYPERLINK(BaseURL&amp;"/proposals/project-matador-gas-plant-pmg-87259f","Project Matador Gas Plant (PMG)")</f>
        <v>Project Matador Gas Plant (PMG)</v>
      </c>
      <c r="E28" s="12" t="s">
        <v>465</v>
      </c>
      <c r="F28" s="12" t="s">
        <v>86</v>
      </c>
      <c r="G28" s="12" t="s">
        <v>466</v>
      </c>
      <c r="H28" s="12" t="s">
        <v>83</v>
      </c>
      <c r="I28" s="14" t="s">
        <v>458</v>
      </c>
      <c r="J28" s="12" t="s">
        <v>523</v>
      </c>
      <c r="K28" s="12" t="s">
        <v>510</v>
      </c>
      <c r="L28" s="12" t="s">
        <v>471</v>
      </c>
      <c r="M28" s="12" t="s">
        <v>480</v>
      </c>
      <c r="N28" s="14" t="s">
        <v>130</v>
      </c>
      <c r="O28" s="14"/>
      <c r="P28" s="12" t="s">
        <v>131</v>
      </c>
      <c r="Q28" s="12" t="s">
        <v>538</v>
      </c>
      <c r="R28" s="12" t="s">
        <v>539</v>
      </c>
    </row>
    <row r="29" customFormat="false" ht="30" hidden="false" customHeight="true" outlineLevel="0" collapsed="false">
      <c r="A29" s="12" t="s">
        <v>127</v>
      </c>
      <c r="B29" s="12" t="s">
        <v>508</v>
      </c>
      <c r="C29" s="12" t="n">
        <v>15</v>
      </c>
      <c r="D29" s="13" t="str">
        <f aca="false">HYPERLINK(BaseURL&amp;"/proposals/project-matador-gas-plant-pmg-yay2k9","Project Matador Gas Plant (PMG)")</f>
        <v>Project Matador Gas Plant (PMG)</v>
      </c>
      <c r="E29" s="12" t="s">
        <v>465</v>
      </c>
      <c r="F29" s="12" t="s">
        <v>86</v>
      </c>
      <c r="G29" s="12" t="s">
        <v>466</v>
      </c>
      <c r="H29" s="12" t="s">
        <v>83</v>
      </c>
      <c r="I29" s="14" t="s">
        <v>458</v>
      </c>
      <c r="J29" s="12" t="s">
        <v>523</v>
      </c>
      <c r="K29" s="12" t="s">
        <v>510</v>
      </c>
      <c r="L29" s="12" t="s">
        <v>471</v>
      </c>
      <c r="M29" s="12" t="s">
        <v>480</v>
      </c>
      <c r="N29" s="14" t="s">
        <v>130</v>
      </c>
      <c r="O29" s="14"/>
      <c r="P29" s="12" t="s">
        <v>131</v>
      </c>
      <c r="Q29" s="12" t="s">
        <v>540</v>
      </c>
      <c r="R29" s="12" t="s">
        <v>541</v>
      </c>
    </row>
    <row r="30" customFormat="false" ht="30" hidden="false" customHeight="true" outlineLevel="0" collapsed="false">
      <c r="A30" s="12" t="s">
        <v>127</v>
      </c>
      <c r="B30" s="12" t="s">
        <v>508</v>
      </c>
      <c r="C30" s="12" t="n">
        <v>16</v>
      </c>
      <c r="D30" s="13" t="str">
        <f aca="false">HYPERLINK(BaseURL&amp;"/proposals/project-matador-gas-plant-pmg-01t0rg","Project Matador Gas Plant (PMG)")</f>
        <v>Project Matador Gas Plant (PMG)</v>
      </c>
      <c r="E30" s="12" t="s">
        <v>465</v>
      </c>
      <c r="F30" s="12" t="s">
        <v>86</v>
      </c>
      <c r="G30" s="12" t="s">
        <v>466</v>
      </c>
      <c r="H30" s="12" t="s">
        <v>83</v>
      </c>
      <c r="I30" s="14" t="s">
        <v>458</v>
      </c>
      <c r="J30" s="12" t="s">
        <v>523</v>
      </c>
      <c r="K30" s="12" t="s">
        <v>510</v>
      </c>
      <c r="L30" s="12" t="s">
        <v>471</v>
      </c>
      <c r="M30" s="12" t="s">
        <v>480</v>
      </c>
      <c r="N30" s="14" t="s">
        <v>130</v>
      </c>
      <c r="O30" s="14"/>
      <c r="P30" s="12" t="s">
        <v>131</v>
      </c>
      <c r="Q30" s="12" t="s">
        <v>542</v>
      </c>
      <c r="R30" s="12" t="s">
        <v>543</v>
      </c>
    </row>
    <row r="31" customFormat="false" ht="30" hidden="false" customHeight="true" outlineLevel="0" collapsed="false">
      <c r="A31" s="12" t="s">
        <v>127</v>
      </c>
      <c r="B31" s="12" t="s">
        <v>508</v>
      </c>
      <c r="C31" s="12" t="n">
        <v>17</v>
      </c>
      <c r="D31" s="13" t="str">
        <f aca="false">HYPERLINK(BaseURL&amp;"/proposals/project-matador-gas-plant-pmg-he8gm6","Project Matador Gas Plant (PMG)")</f>
        <v>Project Matador Gas Plant (PMG)</v>
      </c>
      <c r="E31" s="12" t="s">
        <v>465</v>
      </c>
      <c r="F31" s="12" t="s">
        <v>86</v>
      </c>
      <c r="G31" s="12" t="s">
        <v>466</v>
      </c>
      <c r="H31" s="12" t="s">
        <v>83</v>
      </c>
      <c r="I31" s="14" t="s">
        <v>458</v>
      </c>
      <c r="J31" s="12" t="s">
        <v>523</v>
      </c>
      <c r="K31" s="12" t="s">
        <v>510</v>
      </c>
      <c r="L31" s="12" t="s">
        <v>471</v>
      </c>
      <c r="M31" s="12" t="s">
        <v>480</v>
      </c>
      <c r="N31" s="14" t="s">
        <v>130</v>
      </c>
      <c r="O31" s="14"/>
      <c r="P31" s="12" t="s">
        <v>131</v>
      </c>
      <c r="Q31" s="12" t="s">
        <v>544</v>
      </c>
      <c r="R31" s="12" t="s">
        <v>545</v>
      </c>
    </row>
    <row r="32" customFormat="false" ht="30" hidden="false" customHeight="true" outlineLevel="0" collapsed="false">
      <c r="A32" s="12" t="s">
        <v>127</v>
      </c>
      <c r="B32" s="12" t="s">
        <v>508</v>
      </c>
      <c r="C32" s="12" t="n">
        <v>18</v>
      </c>
      <c r="D32" s="13" t="str">
        <f aca="false">HYPERLINK(BaseURL&amp;"/proposals/project-matador-gas-plant-pmg-z0aqwf","Project Matador Gas Plant (PMG)")</f>
        <v>Project Matador Gas Plant (PMG)</v>
      </c>
      <c r="E32" s="12" t="s">
        <v>465</v>
      </c>
      <c r="F32" s="12" t="s">
        <v>86</v>
      </c>
      <c r="G32" s="12" t="s">
        <v>466</v>
      </c>
      <c r="H32" s="12" t="s">
        <v>83</v>
      </c>
      <c r="I32" s="14" t="s">
        <v>458</v>
      </c>
      <c r="J32" s="12" t="s">
        <v>523</v>
      </c>
      <c r="K32" s="12" t="s">
        <v>510</v>
      </c>
      <c r="L32" s="12" t="s">
        <v>471</v>
      </c>
      <c r="M32" s="12" t="s">
        <v>480</v>
      </c>
      <c r="N32" s="14" t="s">
        <v>130</v>
      </c>
      <c r="O32" s="14"/>
      <c r="P32" s="12" t="s">
        <v>131</v>
      </c>
      <c r="Q32" s="12" t="s">
        <v>546</v>
      </c>
      <c r="R32" s="12" t="s">
        <v>547</v>
      </c>
    </row>
    <row r="33" customFormat="false" ht="30" hidden="false" customHeight="true" outlineLevel="0" collapsed="false">
      <c r="A33" s="12" t="s">
        <v>127</v>
      </c>
      <c r="B33" s="12" t="s">
        <v>508</v>
      </c>
      <c r="C33" s="12" t="n">
        <v>19</v>
      </c>
      <c r="D33" s="13" t="str">
        <f aca="false">HYPERLINK(BaseURL&amp;"/proposals/project-matador-gas-plant-pmg-xvqqb3","Project Matador Gas Plant (PMG)")</f>
        <v>Project Matador Gas Plant (PMG)</v>
      </c>
      <c r="E33" s="12" t="s">
        <v>465</v>
      </c>
      <c r="F33" s="12" t="s">
        <v>86</v>
      </c>
      <c r="G33" s="12" t="s">
        <v>466</v>
      </c>
      <c r="H33" s="12" t="s">
        <v>83</v>
      </c>
      <c r="I33" s="14" t="s">
        <v>458</v>
      </c>
      <c r="J33" s="12" t="s">
        <v>523</v>
      </c>
      <c r="K33" s="12" t="s">
        <v>510</v>
      </c>
      <c r="L33" s="12" t="s">
        <v>471</v>
      </c>
      <c r="M33" s="12" t="s">
        <v>480</v>
      </c>
      <c r="N33" s="14" t="s">
        <v>130</v>
      </c>
      <c r="O33" s="14"/>
      <c r="P33" s="12" t="s">
        <v>131</v>
      </c>
      <c r="Q33" s="12" t="s">
        <v>548</v>
      </c>
      <c r="R33" s="12" t="s">
        <v>549</v>
      </c>
    </row>
    <row r="34" customFormat="false" ht="30" hidden="false" customHeight="true" outlineLevel="0" collapsed="false">
      <c r="A34" s="12" t="s">
        <v>127</v>
      </c>
      <c r="B34" s="12" t="s">
        <v>508</v>
      </c>
      <c r="C34" s="12" t="n">
        <v>20</v>
      </c>
      <c r="D34" s="13" t="str">
        <f aca="false">HYPERLINK(BaseURL&amp;"/proposals/project-matador-gas-plant-pmg-t629a8","Project Matador Gas Plant (PMG)")</f>
        <v>Project Matador Gas Plant (PMG)</v>
      </c>
      <c r="E34" s="12" t="s">
        <v>465</v>
      </c>
      <c r="F34" s="12" t="s">
        <v>86</v>
      </c>
      <c r="G34" s="12" t="s">
        <v>466</v>
      </c>
      <c r="H34" s="12" t="s">
        <v>83</v>
      </c>
      <c r="I34" s="14" t="s">
        <v>458</v>
      </c>
      <c r="J34" s="12" t="s">
        <v>523</v>
      </c>
      <c r="K34" s="12" t="s">
        <v>510</v>
      </c>
      <c r="L34" s="12" t="s">
        <v>471</v>
      </c>
      <c r="M34" s="12" t="s">
        <v>480</v>
      </c>
      <c r="N34" s="14" t="s">
        <v>130</v>
      </c>
      <c r="O34" s="14"/>
      <c r="P34" s="12" t="s">
        <v>131</v>
      </c>
      <c r="Q34" s="12" t="s">
        <v>550</v>
      </c>
      <c r="R34" s="12" t="s">
        <v>551</v>
      </c>
    </row>
    <row r="35" customFormat="false" ht="30" hidden="false" customHeight="true" outlineLevel="0" collapsed="false">
      <c r="A35" s="12" t="s">
        <v>127</v>
      </c>
      <c r="B35" s="12" t="s">
        <v>508</v>
      </c>
      <c r="C35" s="12" t="n">
        <v>21</v>
      </c>
      <c r="D35" s="13" t="str">
        <f aca="false">HYPERLINK(BaseURL&amp;"/proposals/project-matador-gas-plant-pmg-5bc8wg","Project Matador Gas Plant (PMG)")</f>
        <v>Project Matador Gas Plant (PMG)</v>
      </c>
      <c r="E35" s="12" t="s">
        <v>465</v>
      </c>
      <c r="F35" s="12" t="s">
        <v>86</v>
      </c>
      <c r="G35" s="12" t="s">
        <v>466</v>
      </c>
      <c r="H35" s="12" t="s">
        <v>83</v>
      </c>
      <c r="I35" s="14" t="s">
        <v>458</v>
      </c>
      <c r="J35" s="12" t="s">
        <v>523</v>
      </c>
      <c r="K35" s="12" t="s">
        <v>510</v>
      </c>
      <c r="L35" s="12" t="s">
        <v>471</v>
      </c>
      <c r="M35" s="12" t="s">
        <v>480</v>
      </c>
      <c r="N35" s="14" t="s">
        <v>130</v>
      </c>
      <c r="O35" s="14"/>
      <c r="P35" s="12" t="s">
        <v>131</v>
      </c>
      <c r="Q35" s="12" t="s">
        <v>552</v>
      </c>
      <c r="R35" s="12" t="s">
        <v>553</v>
      </c>
    </row>
    <row r="36" customFormat="false" ht="30" hidden="false" customHeight="true" outlineLevel="0" collapsed="false">
      <c r="A36" s="12" t="s">
        <v>127</v>
      </c>
      <c r="B36" s="12" t="s">
        <v>508</v>
      </c>
      <c r="C36" s="12" t="n">
        <v>22</v>
      </c>
      <c r="D36" s="13" t="str">
        <f aca="false">HYPERLINK(BaseURL&amp;"/proposals/project-matador-gas-plant-pmg-gsfgvs","Project Matador Gas Plant (PMG)")</f>
        <v>Project Matador Gas Plant (PMG)</v>
      </c>
      <c r="E36" s="12" t="s">
        <v>465</v>
      </c>
      <c r="F36" s="12" t="s">
        <v>86</v>
      </c>
      <c r="G36" s="12" t="s">
        <v>466</v>
      </c>
      <c r="H36" s="12" t="s">
        <v>83</v>
      </c>
      <c r="I36" s="14" t="s">
        <v>458</v>
      </c>
      <c r="J36" s="12" t="s">
        <v>523</v>
      </c>
      <c r="K36" s="12" t="s">
        <v>510</v>
      </c>
      <c r="L36" s="12" t="s">
        <v>471</v>
      </c>
      <c r="M36" s="12" t="s">
        <v>480</v>
      </c>
      <c r="N36" s="14" t="s">
        <v>130</v>
      </c>
      <c r="O36" s="14"/>
      <c r="P36" s="12" t="s">
        <v>131</v>
      </c>
      <c r="Q36" s="12" t="s">
        <v>554</v>
      </c>
      <c r="R36" s="12" t="s">
        <v>555</v>
      </c>
    </row>
    <row r="37" customFormat="false" ht="30" hidden="false" customHeight="true" outlineLevel="0" collapsed="false">
      <c r="A37" s="12" t="s">
        <v>127</v>
      </c>
      <c r="B37" s="12" t="s">
        <v>508</v>
      </c>
      <c r="C37" s="12" t="n">
        <v>23</v>
      </c>
      <c r="D37" s="13" t="str">
        <f aca="false">HYPERLINK(BaseURL&amp;"/proposals/project-matador-gas-plant-pmg-kzg3nb","Project Matador Gas Plant (PMG)")</f>
        <v>Project Matador Gas Plant (PMG)</v>
      </c>
      <c r="E37" s="12" t="s">
        <v>465</v>
      </c>
      <c r="F37" s="12" t="s">
        <v>86</v>
      </c>
      <c r="G37" s="12" t="s">
        <v>466</v>
      </c>
      <c r="H37" s="12" t="s">
        <v>83</v>
      </c>
      <c r="I37" s="14" t="s">
        <v>458</v>
      </c>
      <c r="J37" s="12" t="s">
        <v>523</v>
      </c>
      <c r="K37" s="12" t="s">
        <v>510</v>
      </c>
      <c r="L37" s="12" t="s">
        <v>471</v>
      </c>
      <c r="M37" s="12" t="s">
        <v>480</v>
      </c>
      <c r="N37" s="14" t="s">
        <v>130</v>
      </c>
      <c r="O37" s="14"/>
      <c r="P37" s="12" t="s">
        <v>131</v>
      </c>
      <c r="Q37" s="12" t="s">
        <v>556</v>
      </c>
      <c r="R37" s="12" t="s">
        <v>557</v>
      </c>
    </row>
    <row r="38" customFormat="false" ht="30" hidden="false" customHeight="true" outlineLevel="0" collapsed="false">
      <c r="A38" s="12" t="s">
        <v>127</v>
      </c>
      <c r="B38" s="12" t="s">
        <v>508</v>
      </c>
      <c r="C38" s="12" t="n">
        <v>24</v>
      </c>
      <c r="D38" s="13" t="str">
        <f aca="false">HYPERLINK(BaseURL&amp;"/proposals/project-matador-gas-plant-pmg-vpbs97","Project Matador Gas Plant (PMG)")</f>
        <v>Project Matador Gas Plant (PMG)</v>
      </c>
      <c r="E38" s="12" t="s">
        <v>465</v>
      </c>
      <c r="F38" s="12" t="s">
        <v>86</v>
      </c>
      <c r="G38" s="12" t="s">
        <v>466</v>
      </c>
      <c r="H38" s="12" t="s">
        <v>83</v>
      </c>
      <c r="I38" s="14" t="s">
        <v>458</v>
      </c>
      <c r="J38" s="12" t="s">
        <v>523</v>
      </c>
      <c r="K38" s="12" t="s">
        <v>510</v>
      </c>
      <c r="L38" s="12" t="s">
        <v>471</v>
      </c>
      <c r="M38" s="12" t="s">
        <v>480</v>
      </c>
      <c r="N38" s="14" t="s">
        <v>130</v>
      </c>
      <c r="O38" s="14"/>
      <c r="P38" s="12" t="s">
        <v>131</v>
      </c>
      <c r="Q38" s="12" t="s">
        <v>558</v>
      </c>
      <c r="R38" s="12" t="s">
        <v>559</v>
      </c>
    </row>
    <row r="39" customFormat="false" ht="30" hidden="false" customHeight="true" outlineLevel="0" collapsed="false">
      <c r="A39" s="12" t="s">
        <v>127</v>
      </c>
      <c r="B39" s="12" t="s">
        <v>508</v>
      </c>
      <c r="C39" s="12" t="n">
        <v>25</v>
      </c>
      <c r="D39" s="13" t="str">
        <f aca="false">HYPERLINK(BaseURL&amp;"/proposals/project-matador-gas-plant-pmg-5z1r83","Project Matador Gas Plant (PMG)")</f>
        <v>Project Matador Gas Plant (PMG)</v>
      </c>
      <c r="E39" s="12" t="s">
        <v>465</v>
      </c>
      <c r="F39" s="12" t="s">
        <v>86</v>
      </c>
      <c r="G39" s="12" t="s">
        <v>466</v>
      </c>
      <c r="H39" s="12" t="s">
        <v>83</v>
      </c>
      <c r="I39" s="14" t="s">
        <v>458</v>
      </c>
      <c r="J39" s="12" t="s">
        <v>523</v>
      </c>
      <c r="K39" s="12" t="s">
        <v>510</v>
      </c>
      <c r="L39" s="12" t="s">
        <v>471</v>
      </c>
      <c r="M39" s="12" t="s">
        <v>480</v>
      </c>
      <c r="N39" s="14" t="s">
        <v>130</v>
      </c>
      <c r="O39" s="14"/>
      <c r="P39" s="12" t="s">
        <v>131</v>
      </c>
      <c r="Q39" s="12" t="s">
        <v>560</v>
      </c>
      <c r="R39" s="12" t="s">
        <v>561</v>
      </c>
    </row>
    <row r="40" customFormat="false" ht="30" hidden="false" customHeight="true" outlineLevel="0" collapsed="false">
      <c r="A40" s="12" t="s">
        <v>127</v>
      </c>
      <c r="B40" s="12" t="s">
        <v>508</v>
      </c>
      <c r="C40" s="12" t="n">
        <v>26</v>
      </c>
      <c r="D40" s="13" t="str">
        <f aca="false">HYPERLINK(BaseURL&amp;"/proposals/project-matador-gas-plant-pmg-yqdvhj","Project Matador Gas Plant (PMG)")</f>
        <v>Project Matador Gas Plant (PMG)</v>
      </c>
      <c r="E40" s="12" t="s">
        <v>465</v>
      </c>
      <c r="F40" s="12" t="s">
        <v>86</v>
      </c>
      <c r="G40" s="12" t="s">
        <v>466</v>
      </c>
      <c r="H40" s="12" t="s">
        <v>83</v>
      </c>
      <c r="I40" s="14" t="s">
        <v>458</v>
      </c>
      <c r="J40" s="12" t="s">
        <v>523</v>
      </c>
      <c r="K40" s="12" t="s">
        <v>510</v>
      </c>
      <c r="L40" s="12" t="s">
        <v>471</v>
      </c>
      <c r="M40" s="12" t="s">
        <v>480</v>
      </c>
      <c r="N40" s="14" t="s">
        <v>130</v>
      </c>
      <c r="O40" s="14"/>
      <c r="P40" s="12" t="s">
        <v>131</v>
      </c>
      <c r="Q40" s="12" t="s">
        <v>562</v>
      </c>
      <c r="R40" s="12" t="s">
        <v>563</v>
      </c>
    </row>
    <row r="41" customFormat="false" ht="30" hidden="false" customHeight="true" outlineLevel="0" collapsed="false">
      <c r="A41" s="12" t="s">
        <v>127</v>
      </c>
      <c r="B41" s="12" t="s">
        <v>508</v>
      </c>
      <c r="C41" s="12" t="n">
        <v>27</v>
      </c>
      <c r="D41" s="13" t="str">
        <f aca="false">HYPERLINK(BaseURL&amp;"/proposals/project-matador-gas-plant-pmg-v0hms8","Project Matador Gas Plant (PMG)")</f>
        <v>Project Matador Gas Plant (PMG)</v>
      </c>
      <c r="E41" s="12" t="s">
        <v>465</v>
      </c>
      <c r="F41" s="12" t="s">
        <v>86</v>
      </c>
      <c r="G41" s="12" t="s">
        <v>466</v>
      </c>
      <c r="H41" s="12" t="s">
        <v>83</v>
      </c>
      <c r="I41" s="14" t="s">
        <v>458</v>
      </c>
      <c r="J41" s="12" t="s">
        <v>523</v>
      </c>
      <c r="K41" s="12" t="s">
        <v>510</v>
      </c>
      <c r="L41" s="12" t="s">
        <v>471</v>
      </c>
      <c r="M41" s="12" t="s">
        <v>480</v>
      </c>
      <c r="N41" s="14" t="s">
        <v>130</v>
      </c>
      <c r="O41" s="14"/>
      <c r="P41" s="12" t="s">
        <v>131</v>
      </c>
      <c r="Q41" s="12" t="s">
        <v>564</v>
      </c>
      <c r="R41" s="12" t="s">
        <v>565</v>
      </c>
    </row>
    <row r="42" customFormat="false" ht="30" hidden="false" customHeight="true" outlineLevel="0" collapsed="false">
      <c r="A42" s="12" t="s">
        <v>127</v>
      </c>
      <c r="B42" s="12" t="s">
        <v>508</v>
      </c>
      <c r="C42" s="12" t="n">
        <v>28</v>
      </c>
      <c r="D42" s="13" t="str">
        <f aca="false">HYPERLINK(BaseURL&amp;"/proposals/project-matador-gas-plant-pmg-wpy4mf","Project Matador Gas Plant (PMG)")</f>
        <v>Project Matador Gas Plant (PMG)</v>
      </c>
      <c r="E42" s="12" t="s">
        <v>465</v>
      </c>
      <c r="F42" s="12" t="s">
        <v>86</v>
      </c>
      <c r="G42" s="12" t="s">
        <v>466</v>
      </c>
      <c r="H42" s="12" t="s">
        <v>83</v>
      </c>
      <c r="I42" s="14" t="s">
        <v>458</v>
      </c>
      <c r="J42" s="12" t="s">
        <v>523</v>
      </c>
      <c r="K42" s="12" t="s">
        <v>510</v>
      </c>
      <c r="L42" s="12" t="s">
        <v>471</v>
      </c>
      <c r="M42" s="12" t="s">
        <v>480</v>
      </c>
      <c r="N42" s="14" t="s">
        <v>130</v>
      </c>
      <c r="O42" s="14"/>
      <c r="P42" s="12" t="s">
        <v>131</v>
      </c>
      <c r="Q42" s="12" t="s">
        <v>566</v>
      </c>
      <c r="R42" s="12" t="s">
        <v>567</v>
      </c>
    </row>
    <row r="43" customFormat="false" ht="30" hidden="false" customHeight="true" outlineLevel="0" collapsed="false">
      <c r="A43" s="12" t="s">
        <v>127</v>
      </c>
      <c r="B43" s="12" t="s">
        <v>508</v>
      </c>
      <c r="C43" s="12" t="n">
        <v>29</v>
      </c>
      <c r="D43" s="13" t="str">
        <f aca="false">HYPERLINK(BaseURL&amp;"/proposals/project-matador-gas-plant-pmg-d7cx4c","Project Matador Gas Plant (PMG)")</f>
        <v>Project Matador Gas Plant (PMG)</v>
      </c>
      <c r="E43" s="12" t="s">
        <v>465</v>
      </c>
      <c r="F43" s="12" t="s">
        <v>86</v>
      </c>
      <c r="G43" s="12" t="s">
        <v>466</v>
      </c>
      <c r="H43" s="12" t="s">
        <v>83</v>
      </c>
      <c r="I43" s="14" t="s">
        <v>458</v>
      </c>
      <c r="J43" s="12" t="s">
        <v>523</v>
      </c>
      <c r="K43" s="12" t="s">
        <v>510</v>
      </c>
      <c r="L43" s="12" t="s">
        <v>471</v>
      </c>
      <c r="M43" s="12" t="s">
        <v>480</v>
      </c>
      <c r="N43" s="14" t="s">
        <v>130</v>
      </c>
      <c r="O43" s="14"/>
      <c r="P43" s="12" t="s">
        <v>131</v>
      </c>
      <c r="Q43" s="12" t="s">
        <v>568</v>
      </c>
      <c r="R43" s="12" t="s">
        <v>569</v>
      </c>
    </row>
    <row r="44" customFormat="false" ht="30" hidden="false" customHeight="true" outlineLevel="0" collapsed="false">
      <c r="A44" s="12" t="s">
        <v>127</v>
      </c>
      <c r="B44" s="12" t="s">
        <v>508</v>
      </c>
      <c r="C44" s="12" t="n">
        <v>30</v>
      </c>
      <c r="D44" s="13" t="str">
        <f aca="false">HYPERLINK(BaseURL&amp;"/proposals/project-matador-gas-plant-pmg-j48r95","Project Matador Gas Plant (PMG)")</f>
        <v>Project Matador Gas Plant (PMG)</v>
      </c>
      <c r="E44" s="12" t="s">
        <v>465</v>
      </c>
      <c r="F44" s="12" t="s">
        <v>86</v>
      </c>
      <c r="G44" s="12" t="s">
        <v>466</v>
      </c>
      <c r="H44" s="12" t="s">
        <v>83</v>
      </c>
      <c r="I44" s="14" t="s">
        <v>458</v>
      </c>
      <c r="J44" s="12" t="s">
        <v>523</v>
      </c>
      <c r="K44" s="12" t="s">
        <v>510</v>
      </c>
      <c r="L44" s="12" t="s">
        <v>471</v>
      </c>
      <c r="M44" s="12" t="s">
        <v>480</v>
      </c>
      <c r="N44" s="14" t="s">
        <v>130</v>
      </c>
      <c r="O44" s="14"/>
      <c r="P44" s="12" t="s">
        <v>131</v>
      </c>
      <c r="Q44" s="12" t="s">
        <v>570</v>
      </c>
      <c r="R44" s="12" t="s">
        <v>571</v>
      </c>
    </row>
    <row r="45" customFormat="false" ht="30" hidden="false" customHeight="true" outlineLevel="0" collapsed="false">
      <c r="A45" s="12" t="s">
        <v>127</v>
      </c>
      <c r="B45" s="12" t="s">
        <v>508</v>
      </c>
      <c r="C45" s="12" t="n">
        <v>31</v>
      </c>
      <c r="D45" s="13" t="str">
        <f aca="false">HYPERLINK(BaseURL&amp;"/proposals/project-matador-gas-plant-pmg-msnqfs","Project Matador Gas Plant (PMG)")</f>
        <v>Project Matador Gas Plant (PMG)</v>
      </c>
      <c r="E45" s="12" t="s">
        <v>465</v>
      </c>
      <c r="F45" s="12" t="s">
        <v>86</v>
      </c>
      <c r="G45" s="12" t="s">
        <v>466</v>
      </c>
      <c r="H45" s="12" t="s">
        <v>83</v>
      </c>
      <c r="I45" s="14" t="s">
        <v>458</v>
      </c>
      <c r="J45" s="12" t="s">
        <v>523</v>
      </c>
      <c r="K45" s="12" t="s">
        <v>510</v>
      </c>
      <c r="L45" s="12" t="s">
        <v>471</v>
      </c>
      <c r="M45" s="12" t="s">
        <v>480</v>
      </c>
      <c r="N45" s="14" t="s">
        <v>130</v>
      </c>
      <c r="O45" s="14"/>
      <c r="P45" s="12" t="s">
        <v>131</v>
      </c>
      <c r="Q45" s="12" t="s">
        <v>572</v>
      </c>
      <c r="R45" s="12" t="s">
        <v>573</v>
      </c>
    </row>
    <row r="46" customFormat="false" ht="30" hidden="false" customHeight="true" outlineLevel="0" collapsed="false">
      <c r="A46" s="12" t="s">
        <v>127</v>
      </c>
      <c r="B46" s="12" t="s">
        <v>508</v>
      </c>
      <c r="C46" s="12" t="n">
        <v>32</v>
      </c>
      <c r="D46" s="13" t="str">
        <f aca="false">HYPERLINK(BaseURL&amp;"/proposals/project-matador-gas-plant-pmg-9pmvbj","Project Matador Gas Plant (PMG)")</f>
        <v>Project Matador Gas Plant (PMG)</v>
      </c>
      <c r="E46" s="12" t="s">
        <v>465</v>
      </c>
      <c r="F46" s="12" t="s">
        <v>86</v>
      </c>
      <c r="G46" s="12" t="s">
        <v>466</v>
      </c>
      <c r="H46" s="12" t="s">
        <v>83</v>
      </c>
      <c r="I46" s="14" t="s">
        <v>458</v>
      </c>
      <c r="J46" s="12" t="s">
        <v>523</v>
      </c>
      <c r="K46" s="12" t="s">
        <v>510</v>
      </c>
      <c r="L46" s="12" t="s">
        <v>471</v>
      </c>
      <c r="M46" s="12" t="s">
        <v>480</v>
      </c>
      <c r="N46" s="14" t="s">
        <v>130</v>
      </c>
      <c r="O46" s="14"/>
      <c r="P46" s="12" t="s">
        <v>131</v>
      </c>
      <c r="Q46" s="12" t="s">
        <v>574</v>
      </c>
      <c r="R46" s="12" t="s">
        <v>575</v>
      </c>
    </row>
    <row r="47" customFormat="false" ht="30" hidden="false" customHeight="true" outlineLevel="0" collapsed="false">
      <c r="A47" s="12" t="s">
        <v>127</v>
      </c>
      <c r="B47" s="12" t="s">
        <v>508</v>
      </c>
      <c r="C47" s="12" t="n">
        <v>33</v>
      </c>
      <c r="D47" s="13" t="str">
        <f aca="false">HYPERLINK(BaseURL&amp;"/proposals/project-matador-gas-plant-pmg-mgfqqr","Project Matador Gas Plant (PMG)")</f>
        <v>Project Matador Gas Plant (PMG)</v>
      </c>
      <c r="E47" s="12" t="s">
        <v>465</v>
      </c>
      <c r="F47" s="12" t="s">
        <v>86</v>
      </c>
      <c r="G47" s="12" t="s">
        <v>466</v>
      </c>
      <c r="H47" s="12" t="s">
        <v>83</v>
      </c>
      <c r="I47" s="14" t="s">
        <v>458</v>
      </c>
      <c r="J47" s="12" t="s">
        <v>523</v>
      </c>
      <c r="K47" s="12" t="s">
        <v>510</v>
      </c>
      <c r="L47" s="12" t="s">
        <v>471</v>
      </c>
      <c r="M47" s="12" t="s">
        <v>480</v>
      </c>
      <c r="N47" s="14" t="s">
        <v>130</v>
      </c>
      <c r="O47" s="14"/>
      <c r="P47" s="12" t="s">
        <v>131</v>
      </c>
      <c r="Q47" s="12" t="s">
        <v>576</v>
      </c>
      <c r="R47" s="12" t="s">
        <v>577</v>
      </c>
    </row>
    <row r="48" customFormat="false" ht="30" hidden="false" customHeight="true" outlineLevel="0" collapsed="false">
      <c r="A48" s="12" t="s">
        <v>127</v>
      </c>
      <c r="B48" s="12" t="s">
        <v>508</v>
      </c>
      <c r="C48" s="12" t="n">
        <v>34</v>
      </c>
      <c r="D48" s="13" t="str">
        <f aca="false">HYPERLINK(BaseURL&amp;"/proposals/project-matador-gas-plant-pmg-c3y8d6","Project Matador Gas Plant (PMG)")</f>
        <v>Project Matador Gas Plant (PMG)</v>
      </c>
      <c r="E48" s="12" t="s">
        <v>465</v>
      </c>
      <c r="F48" s="12" t="s">
        <v>86</v>
      </c>
      <c r="G48" s="12" t="s">
        <v>466</v>
      </c>
      <c r="H48" s="12" t="s">
        <v>83</v>
      </c>
      <c r="I48" s="14" t="s">
        <v>458</v>
      </c>
      <c r="J48" s="12" t="s">
        <v>523</v>
      </c>
      <c r="K48" s="12" t="s">
        <v>510</v>
      </c>
      <c r="L48" s="12" t="s">
        <v>471</v>
      </c>
      <c r="M48" s="12" t="s">
        <v>480</v>
      </c>
      <c r="N48" s="14" t="s">
        <v>130</v>
      </c>
      <c r="O48" s="14"/>
      <c r="P48" s="12" t="s">
        <v>131</v>
      </c>
      <c r="Q48" s="12" t="s">
        <v>578</v>
      </c>
      <c r="R48" s="12" t="s">
        <v>579</v>
      </c>
    </row>
    <row r="49" customFormat="false" ht="30" hidden="false" customHeight="true" outlineLevel="0" collapsed="false">
      <c r="A49" s="12" t="s">
        <v>127</v>
      </c>
      <c r="B49" s="12" t="s">
        <v>508</v>
      </c>
      <c r="C49" s="12" t="n">
        <v>35</v>
      </c>
      <c r="D49" s="13" t="str">
        <f aca="false">HYPERLINK(BaseURL&amp;"/proposals/project-matador-gas-plant-pmg-dbzh8t","Project Matador Gas Plant (PMG)")</f>
        <v>Project Matador Gas Plant (PMG)</v>
      </c>
      <c r="E49" s="12" t="s">
        <v>465</v>
      </c>
      <c r="F49" s="12" t="s">
        <v>86</v>
      </c>
      <c r="G49" s="12" t="s">
        <v>466</v>
      </c>
      <c r="H49" s="12" t="s">
        <v>83</v>
      </c>
      <c r="I49" s="14" t="s">
        <v>458</v>
      </c>
      <c r="J49" s="12" t="s">
        <v>523</v>
      </c>
      <c r="K49" s="12" t="s">
        <v>510</v>
      </c>
      <c r="L49" s="12" t="s">
        <v>471</v>
      </c>
      <c r="M49" s="12" t="s">
        <v>480</v>
      </c>
      <c r="N49" s="14" t="s">
        <v>130</v>
      </c>
      <c r="O49" s="14"/>
      <c r="P49" s="12" t="s">
        <v>131</v>
      </c>
      <c r="Q49" s="12" t="s">
        <v>580</v>
      </c>
      <c r="R49" s="12" t="s">
        <v>581</v>
      </c>
    </row>
    <row r="50" customFormat="false" ht="30" hidden="false" customHeight="true" outlineLevel="0" collapsed="false">
      <c r="A50" s="12" t="s">
        <v>127</v>
      </c>
      <c r="B50" s="12" t="s">
        <v>508</v>
      </c>
      <c r="C50" s="12" t="n">
        <v>36</v>
      </c>
      <c r="D50" s="13" t="str">
        <f aca="false">HYPERLINK(BaseURL&amp;"/proposals/project-matador-gas-plant-pmg-x7amdn","Project Matador Gas Plant (PMG)")</f>
        <v>Project Matador Gas Plant (PMG)</v>
      </c>
      <c r="E50" s="12" t="s">
        <v>465</v>
      </c>
      <c r="F50" s="12" t="s">
        <v>86</v>
      </c>
      <c r="G50" s="12" t="s">
        <v>466</v>
      </c>
      <c r="H50" s="12" t="s">
        <v>83</v>
      </c>
      <c r="I50" s="14" t="s">
        <v>458</v>
      </c>
      <c r="J50" s="12" t="s">
        <v>523</v>
      </c>
      <c r="K50" s="12" t="s">
        <v>510</v>
      </c>
      <c r="L50" s="12" t="s">
        <v>471</v>
      </c>
      <c r="M50" s="12" t="s">
        <v>480</v>
      </c>
      <c r="N50" s="14" t="s">
        <v>130</v>
      </c>
      <c r="O50" s="14"/>
      <c r="P50" s="12" t="s">
        <v>131</v>
      </c>
      <c r="Q50" s="12" t="s">
        <v>582</v>
      </c>
      <c r="R50" s="12" t="s">
        <v>583</v>
      </c>
    </row>
    <row r="51" customFormat="false" ht="30" hidden="false" customHeight="true" outlineLevel="0" collapsed="false">
      <c r="A51" s="12" t="s">
        <v>127</v>
      </c>
      <c r="B51" s="12" t="s">
        <v>508</v>
      </c>
      <c r="C51" s="12" t="n">
        <v>37</v>
      </c>
      <c r="D51" s="13" t="str">
        <f aca="false">HYPERLINK(BaseURL&amp;"/proposals/project-matador-gas-plant-pmg-2bzcqs","Project Matador Gas Plant (PMG)")</f>
        <v>Project Matador Gas Plant (PMG)</v>
      </c>
      <c r="E51" s="12" t="s">
        <v>465</v>
      </c>
      <c r="F51" s="12" t="s">
        <v>86</v>
      </c>
      <c r="G51" s="12" t="s">
        <v>466</v>
      </c>
      <c r="H51" s="12" t="s">
        <v>83</v>
      </c>
      <c r="I51" s="14" t="s">
        <v>458</v>
      </c>
      <c r="J51" s="12" t="s">
        <v>523</v>
      </c>
      <c r="K51" s="12" t="s">
        <v>510</v>
      </c>
      <c r="L51" s="12" t="s">
        <v>471</v>
      </c>
      <c r="M51" s="12" t="s">
        <v>480</v>
      </c>
      <c r="N51" s="14" t="s">
        <v>130</v>
      </c>
      <c r="O51" s="14"/>
      <c r="P51" s="12" t="s">
        <v>131</v>
      </c>
      <c r="Q51" s="12" t="s">
        <v>584</v>
      </c>
      <c r="R51" s="12" t="s">
        <v>585</v>
      </c>
    </row>
    <row r="52" customFormat="false" ht="30" hidden="false" customHeight="true" outlineLevel="0" collapsed="false">
      <c r="A52" s="12" t="s">
        <v>127</v>
      </c>
      <c r="B52" s="12" t="s">
        <v>508</v>
      </c>
      <c r="C52" s="12" t="n">
        <v>38</v>
      </c>
      <c r="D52" s="13" t="str">
        <f aca="false">HYPERLINK(BaseURL&amp;"/proposals/project-matador-gas-plant-pmg-ysfqp3","Project Matador Gas Plant (PMG)")</f>
        <v>Project Matador Gas Plant (PMG)</v>
      </c>
      <c r="E52" s="12" t="s">
        <v>465</v>
      </c>
      <c r="F52" s="12" t="s">
        <v>86</v>
      </c>
      <c r="G52" s="12" t="s">
        <v>466</v>
      </c>
      <c r="H52" s="12" t="s">
        <v>83</v>
      </c>
      <c r="I52" s="14" t="s">
        <v>458</v>
      </c>
      <c r="J52" s="12" t="s">
        <v>523</v>
      </c>
      <c r="K52" s="12" t="s">
        <v>510</v>
      </c>
      <c r="L52" s="12" t="s">
        <v>471</v>
      </c>
      <c r="M52" s="12" t="s">
        <v>480</v>
      </c>
      <c r="N52" s="14" t="s">
        <v>130</v>
      </c>
      <c r="O52" s="14"/>
      <c r="P52" s="12" t="s">
        <v>131</v>
      </c>
      <c r="Q52" s="12" t="s">
        <v>586</v>
      </c>
      <c r="R52" s="12" t="s">
        <v>587</v>
      </c>
    </row>
    <row r="53" customFormat="false" ht="30" hidden="false" customHeight="true" outlineLevel="0" collapsed="false">
      <c r="A53" s="12" t="s">
        <v>127</v>
      </c>
      <c r="B53" s="12" t="s">
        <v>508</v>
      </c>
      <c r="C53" s="12" t="n">
        <v>39</v>
      </c>
      <c r="D53" s="13" t="str">
        <f aca="false">HYPERLINK(BaseURL&amp;"/proposals/project-matador-gas-plant-pmg-vcatv8","Project Matador Gas Plant (PMG)")</f>
        <v>Project Matador Gas Plant (PMG)</v>
      </c>
      <c r="E53" s="12" t="s">
        <v>465</v>
      </c>
      <c r="F53" s="12" t="s">
        <v>86</v>
      </c>
      <c r="G53" s="12" t="s">
        <v>466</v>
      </c>
      <c r="H53" s="12" t="s">
        <v>83</v>
      </c>
      <c r="I53" s="14" t="s">
        <v>458</v>
      </c>
      <c r="J53" s="12" t="s">
        <v>523</v>
      </c>
      <c r="K53" s="12" t="s">
        <v>510</v>
      </c>
      <c r="L53" s="12" t="s">
        <v>471</v>
      </c>
      <c r="M53" s="12" t="s">
        <v>480</v>
      </c>
      <c r="N53" s="14" t="s">
        <v>130</v>
      </c>
      <c r="O53" s="14"/>
      <c r="P53" s="12" t="s">
        <v>131</v>
      </c>
      <c r="Q53" s="12" t="s">
        <v>588</v>
      </c>
      <c r="R53" s="12" t="s">
        <v>589</v>
      </c>
    </row>
    <row r="54" customFormat="false" ht="30" hidden="false" customHeight="true" outlineLevel="0" collapsed="false">
      <c r="A54" s="12" t="s">
        <v>127</v>
      </c>
      <c r="B54" s="12" t="s">
        <v>508</v>
      </c>
      <c r="C54" s="12" t="n">
        <v>40</v>
      </c>
      <c r="D54" s="13" t="str">
        <f aca="false">HYPERLINK(BaseURL&amp;"/proposals/project-matador-gas-plant-pmg-5r8890","Project Matador Gas Plant (PMG)")</f>
        <v>Project Matador Gas Plant (PMG)</v>
      </c>
      <c r="E54" s="12" t="s">
        <v>465</v>
      </c>
      <c r="F54" s="12" t="s">
        <v>86</v>
      </c>
      <c r="G54" s="12" t="s">
        <v>466</v>
      </c>
      <c r="H54" s="12" t="s">
        <v>83</v>
      </c>
      <c r="I54" s="14" t="s">
        <v>458</v>
      </c>
      <c r="J54" s="12" t="s">
        <v>523</v>
      </c>
      <c r="K54" s="12" t="s">
        <v>510</v>
      </c>
      <c r="L54" s="12" t="s">
        <v>471</v>
      </c>
      <c r="M54" s="12" t="s">
        <v>480</v>
      </c>
      <c r="N54" s="14" t="s">
        <v>130</v>
      </c>
      <c r="O54" s="14"/>
      <c r="P54" s="12" t="s">
        <v>131</v>
      </c>
      <c r="Q54" s="12" t="s">
        <v>590</v>
      </c>
      <c r="R54" s="12" t="s">
        <v>591</v>
      </c>
    </row>
    <row r="55" customFormat="false" ht="30" hidden="false" customHeight="true" outlineLevel="0" collapsed="false">
      <c r="A55" s="12" t="s">
        <v>127</v>
      </c>
      <c r="B55" s="12" t="s">
        <v>508</v>
      </c>
      <c r="C55" s="12" t="n">
        <v>41</v>
      </c>
      <c r="D55" s="13" t="str">
        <f aca="false">HYPERLINK(BaseURL&amp;"/proposals/project-matador-gas-plant-pmg-d5ybyx","Project Matador Gas Plant (PMG)")</f>
        <v>Project Matador Gas Plant (PMG)</v>
      </c>
      <c r="E55" s="12" t="s">
        <v>465</v>
      </c>
      <c r="F55" s="12" t="s">
        <v>86</v>
      </c>
      <c r="G55" s="12" t="s">
        <v>466</v>
      </c>
      <c r="H55" s="12" t="s">
        <v>83</v>
      </c>
      <c r="I55" s="14" t="s">
        <v>458</v>
      </c>
      <c r="J55" s="12" t="s">
        <v>523</v>
      </c>
      <c r="K55" s="12" t="s">
        <v>510</v>
      </c>
      <c r="L55" s="12" t="s">
        <v>471</v>
      </c>
      <c r="M55" s="12" t="s">
        <v>480</v>
      </c>
      <c r="N55" s="14" t="s">
        <v>130</v>
      </c>
      <c r="O55" s="14"/>
      <c r="P55" s="12" t="s">
        <v>131</v>
      </c>
      <c r="Q55" s="12" t="s">
        <v>592</v>
      </c>
      <c r="R55" s="12" t="s">
        <v>593</v>
      </c>
    </row>
    <row r="56" customFormat="false" ht="30" hidden="false" customHeight="true" outlineLevel="0" collapsed="false">
      <c r="A56" s="12" t="s">
        <v>127</v>
      </c>
      <c r="B56" s="12" t="s">
        <v>508</v>
      </c>
      <c r="C56" s="12" t="n">
        <v>42</v>
      </c>
      <c r="D56" s="13" t="str">
        <f aca="false">HYPERLINK(BaseURL&amp;"/proposals/project-matador-gas-plant-pmg-bakk7g","Project Matador Gas Plant (PMG)")</f>
        <v>Project Matador Gas Plant (PMG)</v>
      </c>
      <c r="E56" s="12" t="s">
        <v>465</v>
      </c>
      <c r="F56" s="12" t="s">
        <v>86</v>
      </c>
      <c r="G56" s="12" t="s">
        <v>466</v>
      </c>
      <c r="H56" s="12" t="s">
        <v>83</v>
      </c>
      <c r="I56" s="14" t="s">
        <v>458</v>
      </c>
      <c r="J56" s="12" t="s">
        <v>523</v>
      </c>
      <c r="K56" s="12" t="s">
        <v>510</v>
      </c>
      <c r="L56" s="12" t="s">
        <v>471</v>
      </c>
      <c r="M56" s="12" t="s">
        <v>480</v>
      </c>
      <c r="N56" s="14" t="s">
        <v>130</v>
      </c>
      <c r="O56" s="14"/>
      <c r="P56" s="12" t="s">
        <v>131</v>
      </c>
      <c r="Q56" s="12" t="s">
        <v>594</v>
      </c>
      <c r="R56" s="12" t="s">
        <v>595</v>
      </c>
    </row>
    <row r="57" customFormat="false" ht="30" hidden="false" customHeight="true" outlineLevel="0" collapsed="false">
      <c r="A57" s="12" t="s">
        <v>127</v>
      </c>
      <c r="B57" s="12" t="s">
        <v>508</v>
      </c>
      <c r="C57" s="12" t="n">
        <v>43</v>
      </c>
      <c r="D57" s="13" t="str">
        <f aca="false">HYPERLINK(BaseURL&amp;"/proposals/project-matador-gas-plant-pmg-2s8wn4","Project Matador Gas Plant (PMG)")</f>
        <v>Project Matador Gas Plant (PMG)</v>
      </c>
      <c r="E57" s="12" t="s">
        <v>465</v>
      </c>
      <c r="F57" s="12" t="s">
        <v>86</v>
      </c>
      <c r="G57" s="12" t="s">
        <v>466</v>
      </c>
      <c r="H57" s="12" t="s">
        <v>83</v>
      </c>
      <c r="I57" s="14" t="s">
        <v>458</v>
      </c>
      <c r="J57" s="12" t="s">
        <v>523</v>
      </c>
      <c r="K57" s="12" t="s">
        <v>510</v>
      </c>
      <c r="L57" s="12" t="s">
        <v>471</v>
      </c>
      <c r="M57" s="12" t="s">
        <v>480</v>
      </c>
      <c r="N57" s="14" t="s">
        <v>130</v>
      </c>
      <c r="O57" s="14"/>
      <c r="P57" s="12" t="s">
        <v>131</v>
      </c>
      <c r="Q57" s="12" t="s">
        <v>596</v>
      </c>
      <c r="R57" s="12" t="s">
        <v>597</v>
      </c>
    </row>
    <row r="58" customFormat="false" ht="30" hidden="false" customHeight="true" outlineLevel="0" collapsed="false">
      <c r="A58" s="12" t="s">
        <v>127</v>
      </c>
      <c r="B58" s="12" t="s">
        <v>508</v>
      </c>
      <c r="C58" s="12" t="n">
        <v>44</v>
      </c>
      <c r="D58" s="13" t="str">
        <f aca="false">HYPERLINK(BaseURL&amp;"/proposals/project-matador-gas-plant-pmg-1gn0h6","Project Matador Gas Plant (PMG)")</f>
        <v>Project Matador Gas Plant (PMG)</v>
      </c>
      <c r="E58" s="12" t="s">
        <v>465</v>
      </c>
      <c r="F58" s="12" t="s">
        <v>86</v>
      </c>
      <c r="G58" s="12" t="s">
        <v>466</v>
      </c>
      <c r="H58" s="12" t="s">
        <v>83</v>
      </c>
      <c r="I58" s="14" t="s">
        <v>458</v>
      </c>
      <c r="J58" s="12" t="s">
        <v>523</v>
      </c>
      <c r="K58" s="12" t="s">
        <v>510</v>
      </c>
      <c r="L58" s="12" t="s">
        <v>471</v>
      </c>
      <c r="M58" s="12" t="s">
        <v>480</v>
      </c>
      <c r="N58" s="14" t="s">
        <v>130</v>
      </c>
      <c r="O58" s="14"/>
      <c r="P58" s="12" t="s">
        <v>131</v>
      </c>
      <c r="Q58" s="12" t="s">
        <v>598</v>
      </c>
      <c r="R58" s="12" t="s">
        <v>599</v>
      </c>
    </row>
    <row r="59" customFormat="false" ht="30" hidden="false" customHeight="true" outlineLevel="0" collapsed="false">
      <c r="A59" s="12" t="s">
        <v>127</v>
      </c>
      <c r="B59" s="12" t="s">
        <v>508</v>
      </c>
      <c r="C59" s="12" t="n">
        <v>45</v>
      </c>
      <c r="D59" s="13" t="str">
        <f aca="false">HYPERLINK(BaseURL&amp;"/proposals/project-matador-gas-plant-pmg-9hrpxk","Project Matador Gas Plant (PMG)")</f>
        <v>Project Matador Gas Plant (PMG)</v>
      </c>
      <c r="E59" s="12" t="s">
        <v>465</v>
      </c>
      <c r="F59" s="12" t="s">
        <v>86</v>
      </c>
      <c r="G59" s="12" t="s">
        <v>466</v>
      </c>
      <c r="H59" s="12" t="s">
        <v>83</v>
      </c>
      <c r="I59" s="14" t="s">
        <v>458</v>
      </c>
      <c r="J59" s="12" t="s">
        <v>523</v>
      </c>
      <c r="K59" s="12" t="s">
        <v>510</v>
      </c>
      <c r="L59" s="12" t="s">
        <v>471</v>
      </c>
      <c r="M59" s="12" t="s">
        <v>480</v>
      </c>
      <c r="N59" s="14" t="s">
        <v>130</v>
      </c>
      <c r="O59" s="14"/>
      <c r="P59" s="12" t="s">
        <v>131</v>
      </c>
      <c r="Q59" s="12" t="s">
        <v>600</v>
      </c>
      <c r="R59" s="12" t="s">
        <v>601</v>
      </c>
    </row>
    <row r="60" customFormat="false" ht="30" hidden="false" customHeight="true" outlineLevel="0" collapsed="false">
      <c r="A60" s="12" t="s">
        <v>127</v>
      </c>
      <c r="B60" s="12" t="s">
        <v>508</v>
      </c>
      <c r="C60" s="12" t="n">
        <v>46</v>
      </c>
      <c r="D60" s="13" t="str">
        <f aca="false">HYPERLINK(BaseURL&amp;"/proposals/project-matador-gas-plant-pmg-5shcd1","Project Matador Gas Plant (PMG)")</f>
        <v>Project Matador Gas Plant (PMG)</v>
      </c>
      <c r="E60" s="12" t="s">
        <v>465</v>
      </c>
      <c r="F60" s="12" t="s">
        <v>86</v>
      </c>
      <c r="G60" s="12" t="s">
        <v>466</v>
      </c>
      <c r="H60" s="12" t="s">
        <v>83</v>
      </c>
      <c r="I60" s="14" t="s">
        <v>458</v>
      </c>
      <c r="J60" s="12" t="s">
        <v>602</v>
      </c>
      <c r="K60" s="12" t="s">
        <v>510</v>
      </c>
      <c r="L60" s="12" t="s">
        <v>471</v>
      </c>
      <c r="M60" s="12" t="s">
        <v>480</v>
      </c>
      <c r="N60" s="14" t="s">
        <v>130</v>
      </c>
      <c r="O60" s="14"/>
      <c r="P60" s="12" t="s">
        <v>131</v>
      </c>
      <c r="Q60" s="12" t="s">
        <v>603</v>
      </c>
      <c r="R60" s="12" t="s">
        <v>604</v>
      </c>
    </row>
    <row r="61" customFormat="false" ht="30" hidden="false" customHeight="true" outlineLevel="0" collapsed="false">
      <c r="A61" s="12" t="s">
        <v>127</v>
      </c>
      <c r="B61" s="12" t="s">
        <v>508</v>
      </c>
      <c r="C61" s="12" t="n">
        <v>47</v>
      </c>
      <c r="D61" s="13" t="str">
        <f aca="false">HYPERLINK(BaseURL&amp;"/proposals/project-matador-gas-plant-pmg-6ydftp","Project Matador Gas Plant (PMG)")</f>
        <v>Project Matador Gas Plant (PMG)</v>
      </c>
      <c r="E61" s="12" t="s">
        <v>465</v>
      </c>
      <c r="F61" s="12" t="s">
        <v>86</v>
      </c>
      <c r="G61" s="12" t="s">
        <v>466</v>
      </c>
      <c r="H61" s="12" t="s">
        <v>83</v>
      </c>
      <c r="I61" s="14" t="s">
        <v>458</v>
      </c>
      <c r="J61" s="12" t="s">
        <v>602</v>
      </c>
      <c r="K61" s="12" t="s">
        <v>510</v>
      </c>
      <c r="L61" s="12" t="s">
        <v>471</v>
      </c>
      <c r="M61" s="12" t="s">
        <v>480</v>
      </c>
      <c r="N61" s="14" t="s">
        <v>130</v>
      </c>
      <c r="O61" s="14"/>
      <c r="P61" s="12" t="s">
        <v>131</v>
      </c>
      <c r="Q61" s="12" t="s">
        <v>605</v>
      </c>
      <c r="R61" s="12" t="s">
        <v>606</v>
      </c>
    </row>
    <row r="62" customFormat="false" ht="30" hidden="false" customHeight="true" outlineLevel="0" collapsed="false">
      <c r="A62" s="12" t="s">
        <v>127</v>
      </c>
      <c r="B62" s="12" t="s">
        <v>508</v>
      </c>
      <c r="C62" s="12" t="n">
        <v>48</v>
      </c>
      <c r="D62" s="13" t="str">
        <f aca="false">HYPERLINK(BaseURL&amp;"/proposals/project-matador-gas-plant-pmg-waycq8","Project Matador Gas Plant (PMG)")</f>
        <v>Project Matador Gas Plant (PMG)</v>
      </c>
      <c r="E62" s="12" t="s">
        <v>465</v>
      </c>
      <c r="F62" s="12" t="s">
        <v>86</v>
      </c>
      <c r="G62" s="12" t="s">
        <v>466</v>
      </c>
      <c r="H62" s="12" t="s">
        <v>83</v>
      </c>
      <c r="I62" s="14" t="s">
        <v>458</v>
      </c>
      <c r="J62" s="12" t="s">
        <v>602</v>
      </c>
      <c r="K62" s="12" t="s">
        <v>510</v>
      </c>
      <c r="L62" s="12" t="s">
        <v>471</v>
      </c>
      <c r="M62" s="12" t="s">
        <v>480</v>
      </c>
      <c r="N62" s="14" t="s">
        <v>130</v>
      </c>
      <c r="O62" s="14"/>
      <c r="P62" s="12" t="s">
        <v>131</v>
      </c>
      <c r="Q62" s="12" t="s">
        <v>607</v>
      </c>
      <c r="R62" s="12" t="s">
        <v>608</v>
      </c>
    </row>
    <row r="63" customFormat="false" ht="30" hidden="false" customHeight="true" outlineLevel="0" collapsed="false">
      <c r="A63" s="12" t="s">
        <v>127</v>
      </c>
      <c r="B63" s="12" t="s">
        <v>508</v>
      </c>
      <c r="C63" s="12" t="n">
        <v>49</v>
      </c>
      <c r="D63" s="13" t="str">
        <f aca="false">HYPERLINK(BaseURL&amp;"/proposals/project-matador-gas-plant-pmg-a9n9sz","Project Matador Gas Plant (PMG)")</f>
        <v>Project Matador Gas Plant (PMG)</v>
      </c>
      <c r="E63" s="12" t="s">
        <v>465</v>
      </c>
      <c r="F63" s="12" t="s">
        <v>86</v>
      </c>
      <c r="G63" s="12" t="s">
        <v>466</v>
      </c>
      <c r="H63" s="12" t="s">
        <v>83</v>
      </c>
      <c r="I63" s="14" t="s">
        <v>458</v>
      </c>
      <c r="J63" s="12" t="s">
        <v>602</v>
      </c>
      <c r="K63" s="12" t="s">
        <v>510</v>
      </c>
      <c r="L63" s="12" t="s">
        <v>471</v>
      </c>
      <c r="M63" s="12" t="s">
        <v>480</v>
      </c>
      <c r="N63" s="14" t="s">
        <v>130</v>
      </c>
      <c r="O63" s="14"/>
      <c r="P63" s="12" t="s">
        <v>131</v>
      </c>
      <c r="Q63" s="12" t="s">
        <v>609</v>
      </c>
      <c r="R63" s="12" t="s">
        <v>610</v>
      </c>
    </row>
    <row r="64" customFormat="false" ht="30" hidden="false" customHeight="true" outlineLevel="0" collapsed="false">
      <c r="A64" s="12" t="s">
        <v>127</v>
      </c>
      <c r="B64" s="12" t="s">
        <v>508</v>
      </c>
      <c r="C64" s="12" t="n">
        <v>50</v>
      </c>
      <c r="D64" s="13" t="str">
        <f aca="false">HYPERLINK(BaseURL&amp;"/proposals/project-matador-gas-plant-pmg-4837zq","Project Matador Gas Plant (PMG)")</f>
        <v>Project Matador Gas Plant (PMG)</v>
      </c>
      <c r="E64" s="12" t="s">
        <v>465</v>
      </c>
      <c r="F64" s="12" t="s">
        <v>86</v>
      </c>
      <c r="G64" s="12" t="s">
        <v>466</v>
      </c>
      <c r="H64" s="12" t="s">
        <v>83</v>
      </c>
      <c r="I64" s="14" t="s">
        <v>458</v>
      </c>
      <c r="J64" s="12" t="s">
        <v>602</v>
      </c>
      <c r="K64" s="12" t="s">
        <v>510</v>
      </c>
      <c r="L64" s="12" t="s">
        <v>471</v>
      </c>
      <c r="M64" s="12" t="s">
        <v>480</v>
      </c>
      <c r="N64" s="14" t="s">
        <v>130</v>
      </c>
      <c r="O64" s="14"/>
      <c r="P64" s="12" t="s">
        <v>131</v>
      </c>
      <c r="Q64" s="12" t="s">
        <v>611</v>
      </c>
      <c r="R64" s="12" t="s">
        <v>612</v>
      </c>
    </row>
    <row r="65" customFormat="false" ht="30" hidden="false" customHeight="true" outlineLevel="0" collapsed="false">
      <c r="A65" s="12" t="s">
        <v>127</v>
      </c>
      <c r="B65" s="12" t="s">
        <v>508</v>
      </c>
      <c r="C65" s="12" t="n">
        <v>51</v>
      </c>
      <c r="D65" s="13" t="str">
        <f aca="false">HYPERLINK(BaseURL&amp;"/proposals/project-matador-gas-plant-pmg-bhbzzx","Project Matador Gas Plant (PMG)")</f>
        <v>Project Matador Gas Plant (PMG)</v>
      </c>
      <c r="E65" s="12" t="s">
        <v>465</v>
      </c>
      <c r="F65" s="12" t="s">
        <v>86</v>
      </c>
      <c r="G65" s="12" t="s">
        <v>466</v>
      </c>
      <c r="H65" s="12" t="s">
        <v>83</v>
      </c>
      <c r="I65" s="14" t="s">
        <v>458</v>
      </c>
      <c r="J65" s="12" t="s">
        <v>602</v>
      </c>
      <c r="K65" s="12" t="s">
        <v>510</v>
      </c>
      <c r="L65" s="12" t="s">
        <v>471</v>
      </c>
      <c r="M65" s="12" t="s">
        <v>480</v>
      </c>
      <c r="N65" s="14" t="s">
        <v>130</v>
      </c>
      <c r="O65" s="14"/>
      <c r="P65" s="12" t="s">
        <v>131</v>
      </c>
      <c r="Q65" s="12" t="s">
        <v>613</v>
      </c>
      <c r="R65" s="12" t="s">
        <v>614</v>
      </c>
    </row>
    <row r="66" customFormat="false" ht="30" hidden="false" customHeight="true" outlineLevel="0" collapsed="false">
      <c r="A66" s="12" t="s">
        <v>127</v>
      </c>
      <c r="B66" s="12" t="s">
        <v>508</v>
      </c>
      <c r="C66" s="12" t="n">
        <v>52</v>
      </c>
      <c r="D66" s="13" t="str">
        <f aca="false">HYPERLINK(BaseURL&amp;"/proposals/project-matador-gas-plant-pmg-hxbref","Project Matador Gas Plant (PMG)")</f>
        <v>Project Matador Gas Plant (PMG)</v>
      </c>
      <c r="E66" s="12" t="s">
        <v>465</v>
      </c>
      <c r="F66" s="12" t="s">
        <v>86</v>
      </c>
      <c r="G66" s="12" t="s">
        <v>466</v>
      </c>
      <c r="H66" s="12" t="s">
        <v>83</v>
      </c>
      <c r="I66" s="14" t="s">
        <v>458</v>
      </c>
      <c r="J66" s="12" t="s">
        <v>602</v>
      </c>
      <c r="K66" s="12" t="s">
        <v>510</v>
      </c>
      <c r="L66" s="12" t="s">
        <v>471</v>
      </c>
      <c r="M66" s="12" t="s">
        <v>480</v>
      </c>
      <c r="N66" s="14" t="s">
        <v>130</v>
      </c>
      <c r="O66" s="14"/>
      <c r="P66" s="12" t="s">
        <v>131</v>
      </c>
      <c r="Q66" s="12" t="s">
        <v>615</v>
      </c>
      <c r="R66" s="12" t="s">
        <v>616</v>
      </c>
    </row>
    <row r="67" customFormat="false" ht="30" hidden="false" customHeight="true" outlineLevel="0" collapsed="false">
      <c r="A67" s="12" t="s">
        <v>127</v>
      </c>
      <c r="B67" s="12" t="s">
        <v>508</v>
      </c>
      <c r="C67" s="12" t="n">
        <v>53</v>
      </c>
      <c r="D67" s="13" t="str">
        <f aca="false">HYPERLINK(BaseURL&amp;"/proposals/project-matador-gas-plant-pmg-ak2a8c","Project Matador Gas Plant (PMG)")</f>
        <v>Project Matador Gas Plant (PMG)</v>
      </c>
      <c r="E67" s="12" t="s">
        <v>465</v>
      </c>
      <c r="F67" s="12" t="s">
        <v>86</v>
      </c>
      <c r="G67" s="12" t="s">
        <v>466</v>
      </c>
      <c r="H67" s="12" t="s">
        <v>83</v>
      </c>
      <c r="I67" s="14" t="s">
        <v>458</v>
      </c>
      <c r="J67" s="12" t="s">
        <v>602</v>
      </c>
      <c r="K67" s="12" t="s">
        <v>510</v>
      </c>
      <c r="L67" s="12" t="s">
        <v>471</v>
      </c>
      <c r="M67" s="12" t="s">
        <v>480</v>
      </c>
      <c r="N67" s="14" t="s">
        <v>130</v>
      </c>
      <c r="O67" s="14"/>
      <c r="P67" s="12" t="s">
        <v>131</v>
      </c>
      <c r="Q67" s="12" t="s">
        <v>617</v>
      </c>
      <c r="R67" s="12" t="s">
        <v>618</v>
      </c>
    </row>
    <row r="68" customFormat="false" ht="30" hidden="false" customHeight="true" outlineLevel="0" collapsed="false">
      <c r="A68" s="12" t="s">
        <v>127</v>
      </c>
      <c r="B68" s="12" t="s">
        <v>508</v>
      </c>
      <c r="C68" s="12" t="n">
        <v>54</v>
      </c>
      <c r="D68" s="13" t="str">
        <f aca="false">HYPERLINK(BaseURL&amp;"/proposals/project-matador-gas-plant-pmg-r50kz5","Project Matador Gas Plant (PMG)")</f>
        <v>Project Matador Gas Plant (PMG)</v>
      </c>
      <c r="E68" s="12" t="s">
        <v>465</v>
      </c>
      <c r="F68" s="12" t="s">
        <v>86</v>
      </c>
      <c r="G68" s="12" t="s">
        <v>466</v>
      </c>
      <c r="H68" s="12" t="s">
        <v>83</v>
      </c>
      <c r="I68" s="14" t="s">
        <v>458</v>
      </c>
      <c r="J68" s="12" t="s">
        <v>602</v>
      </c>
      <c r="K68" s="12" t="s">
        <v>510</v>
      </c>
      <c r="L68" s="12" t="s">
        <v>471</v>
      </c>
      <c r="M68" s="12" t="s">
        <v>480</v>
      </c>
      <c r="N68" s="14" t="s">
        <v>130</v>
      </c>
      <c r="O68" s="14"/>
      <c r="P68" s="12" t="s">
        <v>131</v>
      </c>
      <c r="Q68" s="12" t="s">
        <v>619</v>
      </c>
      <c r="R68" s="12" t="s">
        <v>620</v>
      </c>
    </row>
    <row r="69" customFormat="false" ht="30" hidden="false" customHeight="true" outlineLevel="0" collapsed="false">
      <c r="A69" s="12" t="s">
        <v>127</v>
      </c>
      <c r="B69" s="12" t="s">
        <v>508</v>
      </c>
      <c r="C69" s="12" t="n">
        <v>55</v>
      </c>
      <c r="D69" s="13" t="str">
        <f aca="false">HYPERLINK(BaseURL&amp;"/proposals/project-matador-gas-plant-pmg-cabw6v","Project Matador Gas Plant (PMG)")</f>
        <v>Project Matador Gas Plant (PMG)</v>
      </c>
      <c r="E69" s="12" t="s">
        <v>465</v>
      </c>
      <c r="F69" s="12" t="s">
        <v>86</v>
      </c>
      <c r="G69" s="12" t="s">
        <v>466</v>
      </c>
      <c r="H69" s="12" t="s">
        <v>83</v>
      </c>
      <c r="I69" s="14" t="s">
        <v>458</v>
      </c>
      <c r="J69" s="12" t="s">
        <v>602</v>
      </c>
      <c r="K69" s="12" t="s">
        <v>510</v>
      </c>
      <c r="L69" s="12" t="s">
        <v>471</v>
      </c>
      <c r="M69" s="12" t="s">
        <v>480</v>
      </c>
      <c r="N69" s="14" t="s">
        <v>130</v>
      </c>
      <c r="O69" s="14"/>
      <c r="P69" s="12" t="s">
        <v>131</v>
      </c>
      <c r="Q69" s="12" t="s">
        <v>621</v>
      </c>
      <c r="R69" s="12" t="s">
        <v>622</v>
      </c>
    </row>
    <row r="70" customFormat="false" ht="30" hidden="false" customHeight="true" outlineLevel="0" collapsed="false">
      <c r="A70" s="12" t="s">
        <v>127</v>
      </c>
      <c r="B70" s="12" t="s">
        <v>508</v>
      </c>
      <c r="C70" s="12" t="n">
        <v>56</v>
      </c>
      <c r="D70" s="13" t="str">
        <f aca="false">HYPERLINK(BaseURL&amp;"/proposals/project-matador-gas-plant-pmg-dz1xty","Project Matador Gas Plant (PMG)")</f>
        <v>Project Matador Gas Plant (PMG)</v>
      </c>
      <c r="E70" s="12" t="s">
        <v>465</v>
      </c>
      <c r="F70" s="12" t="s">
        <v>86</v>
      </c>
      <c r="G70" s="12" t="s">
        <v>466</v>
      </c>
      <c r="H70" s="12" t="s">
        <v>83</v>
      </c>
      <c r="I70" s="14" t="s">
        <v>458</v>
      </c>
      <c r="J70" s="12" t="s">
        <v>602</v>
      </c>
      <c r="K70" s="12" t="s">
        <v>510</v>
      </c>
      <c r="L70" s="12" t="s">
        <v>471</v>
      </c>
      <c r="M70" s="12" t="s">
        <v>480</v>
      </c>
      <c r="N70" s="14" t="s">
        <v>130</v>
      </c>
      <c r="O70" s="14"/>
      <c r="P70" s="12" t="s">
        <v>131</v>
      </c>
      <c r="Q70" s="12" t="s">
        <v>623</v>
      </c>
      <c r="R70" s="12" t="s">
        <v>624</v>
      </c>
    </row>
    <row r="71" customFormat="false" ht="30" hidden="false" customHeight="true" outlineLevel="0" collapsed="false">
      <c r="A71" s="12" t="s">
        <v>127</v>
      </c>
      <c r="B71" s="12" t="s">
        <v>508</v>
      </c>
      <c r="C71" s="12" t="n">
        <v>57</v>
      </c>
      <c r="D71" s="13" t="str">
        <f aca="false">HYPERLINK(BaseURL&amp;"/proposals/project-matador-gas-plant-pmg-ne29k1","Project Matador Gas Plant (PMG)")</f>
        <v>Project Matador Gas Plant (PMG)</v>
      </c>
      <c r="E71" s="12" t="s">
        <v>465</v>
      </c>
      <c r="F71" s="12" t="s">
        <v>86</v>
      </c>
      <c r="G71" s="12" t="s">
        <v>466</v>
      </c>
      <c r="H71" s="12" t="s">
        <v>83</v>
      </c>
      <c r="I71" s="14" t="s">
        <v>458</v>
      </c>
      <c r="J71" s="12" t="s">
        <v>602</v>
      </c>
      <c r="K71" s="12" t="s">
        <v>510</v>
      </c>
      <c r="L71" s="12" t="s">
        <v>471</v>
      </c>
      <c r="M71" s="12" t="s">
        <v>480</v>
      </c>
      <c r="N71" s="14" t="s">
        <v>130</v>
      </c>
      <c r="O71" s="14"/>
      <c r="P71" s="12" t="s">
        <v>131</v>
      </c>
      <c r="Q71" s="12" t="s">
        <v>625</v>
      </c>
      <c r="R71" s="12" t="s">
        <v>626</v>
      </c>
    </row>
    <row r="72" customFormat="false" ht="30" hidden="false" customHeight="true" outlineLevel="0" collapsed="false">
      <c r="A72" s="12" t="s">
        <v>127</v>
      </c>
      <c r="B72" s="12" t="s">
        <v>508</v>
      </c>
      <c r="C72" s="12" t="n">
        <v>58</v>
      </c>
      <c r="D72" s="13" t="str">
        <f aca="false">HYPERLINK(BaseURL&amp;"/proposals/project-matador-gas-plant-pmg-sbdfgr","Project Matador Gas Plant (PMG)")</f>
        <v>Project Matador Gas Plant (PMG)</v>
      </c>
      <c r="E72" s="12" t="s">
        <v>465</v>
      </c>
      <c r="F72" s="12" t="s">
        <v>86</v>
      </c>
      <c r="G72" s="12" t="s">
        <v>466</v>
      </c>
      <c r="H72" s="12" t="s">
        <v>83</v>
      </c>
      <c r="I72" s="14" t="s">
        <v>458</v>
      </c>
      <c r="J72" s="12" t="s">
        <v>602</v>
      </c>
      <c r="K72" s="12" t="s">
        <v>510</v>
      </c>
      <c r="L72" s="12" t="s">
        <v>471</v>
      </c>
      <c r="M72" s="12" t="s">
        <v>480</v>
      </c>
      <c r="N72" s="14" t="s">
        <v>130</v>
      </c>
      <c r="O72" s="14"/>
      <c r="P72" s="12" t="s">
        <v>131</v>
      </c>
      <c r="Q72" s="12" t="s">
        <v>627</v>
      </c>
      <c r="R72" s="12" t="s">
        <v>628</v>
      </c>
    </row>
    <row r="73" customFormat="false" ht="30" hidden="false" customHeight="true" outlineLevel="0" collapsed="false">
      <c r="A73" s="12" t="s">
        <v>127</v>
      </c>
      <c r="B73" s="12" t="s">
        <v>508</v>
      </c>
      <c r="C73" s="12" t="n">
        <v>59</v>
      </c>
      <c r="D73" s="13" t="str">
        <f aca="false">HYPERLINK(BaseURL&amp;"/proposals/project-matador-gas-plant-pmg-f5pdzd","Project Matador Gas Plant (PMG)")</f>
        <v>Project Matador Gas Plant (PMG)</v>
      </c>
      <c r="E73" s="12" t="s">
        <v>465</v>
      </c>
      <c r="F73" s="12" t="s">
        <v>86</v>
      </c>
      <c r="G73" s="12" t="s">
        <v>466</v>
      </c>
      <c r="H73" s="12" t="s">
        <v>83</v>
      </c>
      <c r="I73" s="14" t="s">
        <v>458</v>
      </c>
      <c r="J73" s="12" t="s">
        <v>602</v>
      </c>
      <c r="K73" s="12" t="s">
        <v>510</v>
      </c>
      <c r="L73" s="12" t="s">
        <v>471</v>
      </c>
      <c r="M73" s="12" t="s">
        <v>480</v>
      </c>
      <c r="N73" s="14" t="s">
        <v>130</v>
      </c>
      <c r="O73" s="14"/>
      <c r="P73" s="12" t="s">
        <v>131</v>
      </c>
      <c r="Q73" s="12" t="s">
        <v>629</v>
      </c>
      <c r="R73" s="12" t="s">
        <v>630</v>
      </c>
    </row>
    <row r="74" customFormat="false" ht="30" hidden="false" customHeight="true" outlineLevel="0" collapsed="false">
      <c r="A74" s="12" t="s">
        <v>127</v>
      </c>
      <c r="B74" s="12" t="s">
        <v>508</v>
      </c>
      <c r="C74" s="12" t="n">
        <v>60</v>
      </c>
      <c r="D74" s="13" t="str">
        <f aca="false">HYPERLINK(BaseURL&amp;"/proposals/project-matador-gas-plant-pmg-hvz2hg","Project Matador Gas Plant (PMG)")</f>
        <v>Project Matador Gas Plant (PMG)</v>
      </c>
      <c r="E74" s="12" t="s">
        <v>465</v>
      </c>
      <c r="F74" s="12" t="s">
        <v>86</v>
      </c>
      <c r="G74" s="12" t="s">
        <v>466</v>
      </c>
      <c r="H74" s="12" t="s">
        <v>83</v>
      </c>
      <c r="I74" s="14" t="s">
        <v>458</v>
      </c>
      <c r="J74" s="12" t="s">
        <v>602</v>
      </c>
      <c r="K74" s="12" t="s">
        <v>510</v>
      </c>
      <c r="L74" s="12" t="s">
        <v>471</v>
      </c>
      <c r="M74" s="12" t="s">
        <v>480</v>
      </c>
      <c r="N74" s="14" t="s">
        <v>130</v>
      </c>
      <c r="O74" s="14"/>
      <c r="P74" s="12" t="s">
        <v>131</v>
      </c>
      <c r="Q74" s="12" t="s">
        <v>631</v>
      </c>
      <c r="R74" s="12" t="s">
        <v>632</v>
      </c>
    </row>
    <row r="75" customFormat="false" ht="30" hidden="false" customHeight="true" outlineLevel="0" collapsed="false">
      <c r="A75" s="12" t="s">
        <v>127</v>
      </c>
      <c r="B75" s="12" t="s">
        <v>508</v>
      </c>
      <c r="C75" s="12" t="n">
        <v>61</v>
      </c>
      <c r="D75" s="13" t="str">
        <f aca="false">HYPERLINK(BaseURL&amp;"/proposals/project-matador-gas-plant-pmg-6wrj2r","Project Matador Gas Plant (PMG)")</f>
        <v>Project Matador Gas Plant (PMG)</v>
      </c>
      <c r="E75" s="12" t="s">
        <v>465</v>
      </c>
      <c r="F75" s="12" t="s">
        <v>86</v>
      </c>
      <c r="G75" s="12" t="s">
        <v>466</v>
      </c>
      <c r="H75" s="12" t="s">
        <v>83</v>
      </c>
      <c r="I75" s="14" t="s">
        <v>458</v>
      </c>
      <c r="J75" s="12" t="s">
        <v>602</v>
      </c>
      <c r="K75" s="12" t="s">
        <v>510</v>
      </c>
      <c r="L75" s="12" t="s">
        <v>471</v>
      </c>
      <c r="M75" s="12" t="s">
        <v>480</v>
      </c>
      <c r="N75" s="14" t="s">
        <v>130</v>
      </c>
      <c r="O75" s="14"/>
      <c r="P75" s="12" t="s">
        <v>131</v>
      </c>
      <c r="Q75" s="12" t="s">
        <v>633</v>
      </c>
      <c r="R75" s="12" t="s">
        <v>634</v>
      </c>
    </row>
    <row r="76" customFormat="false" ht="30" hidden="false" customHeight="true" outlineLevel="0" collapsed="false">
      <c r="A76" s="12" t="s">
        <v>127</v>
      </c>
      <c r="B76" s="12" t="s">
        <v>508</v>
      </c>
      <c r="C76" s="12" t="n">
        <v>62</v>
      </c>
      <c r="D76" s="13" t="str">
        <f aca="false">HYPERLINK(BaseURL&amp;"/proposals/project-matador-gas-plant-pmg-xp62r5","Project Matador Gas Plant (PMG)")</f>
        <v>Project Matador Gas Plant (PMG)</v>
      </c>
      <c r="E76" s="12" t="s">
        <v>465</v>
      </c>
      <c r="F76" s="12" t="s">
        <v>86</v>
      </c>
      <c r="G76" s="12" t="s">
        <v>466</v>
      </c>
      <c r="H76" s="12" t="s">
        <v>83</v>
      </c>
      <c r="I76" s="14" t="s">
        <v>458</v>
      </c>
      <c r="J76" s="12" t="s">
        <v>602</v>
      </c>
      <c r="K76" s="12" t="s">
        <v>510</v>
      </c>
      <c r="L76" s="12" t="s">
        <v>471</v>
      </c>
      <c r="M76" s="12" t="s">
        <v>480</v>
      </c>
      <c r="N76" s="14" t="s">
        <v>130</v>
      </c>
      <c r="O76" s="14"/>
      <c r="P76" s="12" t="s">
        <v>131</v>
      </c>
      <c r="Q76" s="12" t="s">
        <v>635</v>
      </c>
      <c r="R76" s="12" t="s">
        <v>636</v>
      </c>
    </row>
    <row r="77" customFormat="false" ht="30" hidden="false" customHeight="true" outlineLevel="0" collapsed="false">
      <c r="A77" s="12" t="s">
        <v>127</v>
      </c>
      <c r="B77" s="12" t="s">
        <v>508</v>
      </c>
      <c r="C77" s="12" t="n">
        <v>63</v>
      </c>
      <c r="D77" s="13" t="str">
        <f aca="false">HYPERLINK(BaseURL&amp;"/proposals/project-matador-gas-plant-pmg-ztvy9q","Project Matador Gas Plant (PMG)")</f>
        <v>Project Matador Gas Plant (PMG)</v>
      </c>
      <c r="E77" s="12" t="s">
        <v>465</v>
      </c>
      <c r="F77" s="12" t="s">
        <v>86</v>
      </c>
      <c r="G77" s="12" t="s">
        <v>466</v>
      </c>
      <c r="H77" s="12" t="s">
        <v>83</v>
      </c>
      <c r="I77" s="14" t="s">
        <v>458</v>
      </c>
      <c r="J77" s="12" t="s">
        <v>602</v>
      </c>
      <c r="K77" s="12" t="s">
        <v>510</v>
      </c>
      <c r="L77" s="12" t="s">
        <v>471</v>
      </c>
      <c r="M77" s="12" t="s">
        <v>480</v>
      </c>
      <c r="N77" s="14" t="s">
        <v>130</v>
      </c>
      <c r="O77" s="14"/>
      <c r="P77" s="12" t="s">
        <v>131</v>
      </c>
      <c r="Q77" s="12" t="s">
        <v>637</v>
      </c>
      <c r="R77" s="12" t="s">
        <v>638</v>
      </c>
    </row>
    <row r="78" customFormat="false" ht="30" hidden="false" customHeight="true" outlineLevel="0" collapsed="false">
      <c r="A78" s="12" t="s">
        <v>127</v>
      </c>
      <c r="B78" s="12" t="s">
        <v>508</v>
      </c>
      <c r="C78" s="12" t="n">
        <v>64</v>
      </c>
      <c r="D78" s="13" t="str">
        <f aca="false">HYPERLINK(BaseURL&amp;"/proposals/project-matador-gas-plant-pmg-8v9krx","Project Matador Gas Plant (PMG)")</f>
        <v>Project Matador Gas Plant (PMG)</v>
      </c>
      <c r="E78" s="12" t="s">
        <v>465</v>
      </c>
      <c r="F78" s="12" t="s">
        <v>86</v>
      </c>
      <c r="G78" s="12" t="s">
        <v>466</v>
      </c>
      <c r="H78" s="12" t="s">
        <v>83</v>
      </c>
      <c r="I78" s="14" t="s">
        <v>458</v>
      </c>
      <c r="J78" s="12" t="s">
        <v>602</v>
      </c>
      <c r="K78" s="12" t="s">
        <v>510</v>
      </c>
      <c r="L78" s="12" t="s">
        <v>471</v>
      </c>
      <c r="M78" s="12" t="s">
        <v>480</v>
      </c>
      <c r="N78" s="14" t="s">
        <v>130</v>
      </c>
      <c r="O78" s="14"/>
      <c r="P78" s="12" t="s">
        <v>131</v>
      </c>
      <c r="Q78" s="12" t="s">
        <v>639</v>
      </c>
      <c r="R78" s="12" t="s">
        <v>640</v>
      </c>
    </row>
    <row r="79" customFormat="false" ht="30" hidden="false" customHeight="true" outlineLevel="0" collapsed="false">
      <c r="A79" s="12" t="s">
        <v>127</v>
      </c>
      <c r="B79" s="12" t="s">
        <v>508</v>
      </c>
      <c r="C79" s="12" t="n">
        <v>65</v>
      </c>
      <c r="D79" s="13" t="str">
        <f aca="false">HYPERLINK(BaseURL&amp;"/proposals/project-matador-gas-plant-pmg-kddt5m","Project Matador Gas Plant (PMG)")</f>
        <v>Project Matador Gas Plant (PMG)</v>
      </c>
      <c r="E79" s="12" t="s">
        <v>465</v>
      </c>
      <c r="F79" s="12" t="s">
        <v>86</v>
      </c>
      <c r="G79" s="12" t="s">
        <v>466</v>
      </c>
      <c r="H79" s="12" t="s">
        <v>83</v>
      </c>
      <c r="I79" s="14" t="s">
        <v>458</v>
      </c>
      <c r="J79" s="12" t="s">
        <v>602</v>
      </c>
      <c r="K79" s="12" t="s">
        <v>510</v>
      </c>
      <c r="L79" s="12" t="s">
        <v>471</v>
      </c>
      <c r="M79" s="12" t="s">
        <v>480</v>
      </c>
      <c r="N79" s="14" t="s">
        <v>130</v>
      </c>
      <c r="O79" s="14"/>
      <c r="P79" s="12" t="s">
        <v>131</v>
      </c>
      <c r="Q79" s="12" t="s">
        <v>641</v>
      </c>
      <c r="R79" s="12" t="s">
        <v>642</v>
      </c>
    </row>
    <row r="80" customFormat="false" ht="30" hidden="false" customHeight="true" outlineLevel="0" collapsed="false">
      <c r="A80" s="12" t="s">
        <v>127</v>
      </c>
      <c r="B80" s="12" t="s">
        <v>508</v>
      </c>
      <c r="C80" s="12" t="n">
        <v>66</v>
      </c>
      <c r="D80" s="13" t="str">
        <f aca="false">HYPERLINK(BaseURL&amp;"/proposals/project-matador-gas-plant-pmg-shq8v5","Project Matador Gas Plant (PMG)")</f>
        <v>Project Matador Gas Plant (PMG)</v>
      </c>
      <c r="E80" s="12" t="s">
        <v>465</v>
      </c>
      <c r="F80" s="12" t="s">
        <v>86</v>
      </c>
      <c r="G80" s="12" t="s">
        <v>466</v>
      </c>
      <c r="H80" s="12" t="s">
        <v>83</v>
      </c>
      <c r="I80" s="14" t="s">
        <v>458</v>
      </c>
      <c r="J80" s="12" t="s">
        <v>602</v>
      </c>
      <c r="K80" s="12" t="s">
        <v>510</v>
      </c>
      <c r="L80" s="12" t="s">
        <v>471</v>
      </c>
      <c r="M80" s="12" t="s">
        <v>480</v>
      </c>
      <c r="N80" s="14" t="s">
        <v>130</v>
      </c>
      <c r="O80" s="14"/>
      <c r="P80" s="12" t="s">
        <v>131</v>
      </c>
      <c r="Q80" s="12" t="s">
        <v>643</v>
      </c>
      <c r="R80" s="12" t="s">
        <v>644</v>
      </c>
    </row>
    <row r="81" customFormat="false" ht="30" hidden="false" customHeight="true" outlineLevel="0" collapsed="false">
      <c r="A81" s="12" t="s">
        <v>127</v>
      </c>
      <c r="B81" s="12" t="s">
        <v>508</v>
      </c>
      <c r="C81" s="12" t="n">
        <v>67</v>
      </c>
      <c r="D81" s="13" t="str">
        <f aca="false">HYPERLINK(BaseURL&amp;"/proposals/project-matador-gas-plant-pmg-wngakn","Project Matador Gas Plant (PMG)")</f>
        <v>Project Matador Gas Plant (PMG)</v>
      </c>
      <c r="E81" s="12" t="s">
        <v>465</v>
      </c>
      <c r="F81" s="12" t="s">
        <v>86</v>
      </c>
      <c r="G81" s="12" t="s">
        <v>466</v>
      </c>
      <c r="H81" s="12" t="s">
        <v>83</v>
      </c>
      <c r="I81" s="14" t="s">
        <v>458</v>
      </c>
      <c r="J81" s="12" t="s">
        <v>602</v>
      </c>
      <c r="K81" s="12" t="s">
        <v>510</v>
      </c>
      <c r="L81" s="12" t="s">
        <v>471</v>
      </c>
      <c r="M81" s="12" t="s">
        <v>480</v>
      </c>
      <c r="N81" s="14" t="s">
        <v>130</v>
      </c>
      <c r="O81" s="14"/>
      <c r="P81" s="12" t="s">
        <v>131</v>
      </c>
      <c r="Q81" s="12" t="s">
        <v>645</v>
      </c>
      <c r="R81" s="12" t="s">
        <v>646</v>
      </c>
    </row>
    <row r="82" customFormat="false" ht="30" hidden="false" customHeight="true" outlineLevel="0" collapsed="false">
      <c r="A82" s="12" t="s">
        <v>127</v>
      </c>
      <c r="B82" s="12" t="s">
        <v>508</v>
      </c>
      <c r="C82" s="12" t="n">
        <v>68</v>
      </c>
      <c r="D82" s="13" t="str">
        <f aca="false">HYPERLINK(BaseURL&amp;"/proposals/project-matador-gas-plant-pmg-nymw7a","Project Matador Gas Plant (PMG)")</f>
        <v>Project Matador Gas Plant (PMG)</v>
      </c>
      <c r="E82" s="12" t="s">
        <v>465</v>
      </c>
      <c r="F82" s="12" t="s">
        <v>86</v>
      </c>
      <c r="G82" s="12" t="s">
        <v>466</v>
      </c>
      <c r="H82" s="12" t="s">
        <v>83</v>
      </c>
      <c r="I82" s="14" t="s">
        <v>458</v>
      </c>
      <c r="J82" s="12" t="s">
        <v>602</v>
      </c>
      <c r="K82" s="12" t="s">
        <v>510</v>
      </c>
      <c r="L82" s="12" t="s">
        <v>471</v>
      </c>
      <c r="M82" s="12" t="s">
        <v>480</v>
      </c>
      <c r="N82" s="14" t="s">
        <v>130</v>
      </c>
      <c r="O82" s="14"/>
      <c r="P82" s="12" t="s">
        <v>131</v>
      </c>
      <c r="Q82" s="12" t="s">
        <v>647</v>
      </c>
      <c r="R82" s="12" t="s">
        <v>648</v>
      </c>
    </row>
    <row r="83" customFormat="false" ht="30" hidden="false" customHeight="true" outlineLevel="0" collapsed="false">
      <c r="A83" s="12" t="s">
        <v>127</v>
      </c>
      <c r="B83" s="12" t="s">
        <v>508</v>
      </c>
      <c r="C83" s="12" t="n">
        <v>69</v>
      </c>
      <c r="D83" s="13" t="str">
        <f aca="false">HYPERLINK(BaseURL&amp;"/proposals/project-matador-gas-plant-pmg-0nmw07","Project Matador Gas Plant (PMG)")</f>
        <v>Project Matador Gas Plant (PMG)</v>
      </c>
      <c r="E83" s="12" t="s">
        <v>465</v>
      </c>
      <c r="F83" s="12" t="s">
        <v>86</v>
      </c>
      <c r="G83" s="12" t="s">
        <v>466</v>
      </c>
      <c r="H83" s="12" t="s">
        <v>83</v>
      </c>
      <c r="I83" s="14" t="s">
        <v>458</v>
      </c>
      <c r="J83" s="12" t="s">
        <v>602</v>
      </c>
      <c r="K83" s="12" t="s">
        <v>510</v>
      </c>
      <c r="L83" s="12" t="s">
        <v>471</v>
      </c>
      <c r="M83" s="12" t="s">
        <v>480</v>
      </c>
      <c r="N83" s="14" t="s">
        <v>130</v>
      </c>
      <c r="O83" s="14"/>
      <c r="P83" s="12" t="s">
        <v>131</v>
      </c>
      <c r="Q83" s="12" t="s">
        <v>649</v>
      </c>
      <c r="R83" s="12" t="s">
        <v>650</v>
      </c>
    </row>
    <row r="84" customFormat="false" ht="30" hidden="false" customHeight="true" outlineLevel="0" collapsed="false">
      <c r="A84" s="12" t="s">
        <v>127</v>
      </c>
      <c r="B84" s="12" t="s">
        <v>508</v>
      </c>
      <c r="C84" s="12" t="n">
        <v>70</v>
      </c>
      <c r="D84" s="13" t="str">
        <f aca="false">HYPERLINK(BaseURL&amp;"/proposals/project-matador-gas-plant-pmg-s870ws","Project Matador Gas Plant (PMG)")</f>
        <v>Project Matador Gas Plant (PMG)</v>
      </c>
      <c r="E84" s="12" t="s">
        <v>465</v>
      </c>
      <c r="F84" s="12" t="s">
        <v>86</v>
      </c>
      <c r="G84" s="12" t="s">
        <v>466</v>
      </c>
      <c r="H84" s="12" t="s">
        <v>83</v>
      </c>
      <c r="I84" s="14" t="s">
        <v>458</v>
      </c>
      <c r="J84" s="12" t="s">
        <v>602</v>
      </c>
      <c r="K84" s="12" t="s">
        <v>510</v>
      </c>
      <c r="L84" s="12" t="s">
        <v>471</v>
      </c>
      <c r="M84" s="12" t="s">
        <v>480</v>
      </c>
      <c r="N84" s="14" t="s">
        <v>130</v>
      </c>
      <c r="O84" s="14"/>
      <c r="P84" s="12" t="s">
        <v>131</v>
      </c>
      <c r="Q84" s="12" t="s">
        <v>651</v>
      </c>
      <c r="R84" s="12" t="s">
        <v>652</v>
      </c>
    </row>
    <row r="85" customFormat="false" ht="30" hidden="false" customHeight="true" outlineLevel="0" collapsed="false">
      <c r="A85" s="12" t="s">
        <v>127</v>
      </c>
      <c r="B85" s="12" t="s">
        <v>508</v>
      </c>
      <c r="C85" s="12" t="n">
        <v>71</v>
      </c>
      <c r="D85" s="13" t="str">
        <f aca="false">HYPERLINK(BaseURL&amp;"/proposals/project-matador-gas-plant-pmg-nsqxwh","Project Matador Gas Plant (PMG)")</f>
        <v>Project Matador Gas Plant (PMG)</v>
      </c>
      <c r="E85" s="12" t="s">
        <v>465</v>
      </c>
      <c r="F85" s="12" t="s">
        <v>86</v>
      </c>
      <c r="G85" s="12" t="s">
        <v>466</v>
      </c>
      <c r="H85" s="12" t="s">
        <v>83</v>
      </c>
      <c r="I85" s="14" t="s">
        <v>458</v>
      </c>
      <c r="J85" s="12" t="s">
        <v>602</v>
      </c>
      <c r="K85" s="12" t="s">
        <v>510</v>
      </c>
      <c r="L85" s="12" t="s">
        <v>471</v>
      </c>
      <c r="M85" s="12" t="s">
        <v>480</v>
      </c>
      <c r="N85" s="14" t="s">
        <v>130</v>
      </c>
      <c r="O85" s="14"/>
      <c r="P85" s="12" t="s">
        <v>131</v>
      </c>
      <c r="Q85" s="12" t="s">
        <v>653</v>
      </c>
      <c r="R85" s="12" t="s">
        <v>654</v>
      </c>
    </row>
    <row r="86" customFormat="false" ht="30" hidden="false" customHeight="true" outlineLevel="0" collapsed="false">
      <c r="A86" s="12" t="s">
        <v>127</v>
      </c>
      <c r="B86" s="12" t="s">
        <v>508</v>
      </c>
      <c r="C86" s="12" t="n">
        <v>72</v>
      </c>
      <c r="D86" s="13" t="str">
        <f aca="false">HYPERLINK(BaseURL&amp;"/proposals/project-matador-gas-plant-pmg-xm8h0j","Project Matador Gas Plant (PMG)")</f>
        <v>Project Matador Gas Plant (PMG)</v>
      </c>
      <c r="E86" s="12" t="s">
        <v>465</v>
      </c>
      <c r="F86" s="12" t="s">
        <v>86</v>
      </c>
      <c r="G86" s="12" t="s">
        <v>466</v>
      </c>
      <c r="H86" s="12" t="s">
        <v>83</v>
      </c>
      <c r="I86" s="14" t="s">
        <v>458</v>
      </c>
      <c r="J86" s="12" t="s">
        <v>602</v>
      </c>
      <c r="K86" s="12" t="s">
        <v>510</v>
      </c>
      <c r="L86" s="12" t="s">
        <v>471</v>
      </c>
      <c r="M86" s="12" t="s">
        <v>480</v>
      </c>
      <c r="N86" s="14" t="s">
        <v>130</v>
      </c>
      <c r="O86" s="14"/>
      <c r="P86" s="12" t="s">
        <v>131</v>
      </c>
      <c r="Q86" s="12" t="s">
        <v>655</v>
      </c>
      <c r="R86" s="12" t="s">
        <v>656</v>
      </c>
    </row>
    <row r="87" customFormat="false" ht="30" hidden="false" customHeight="true" outlineLevel="0" collapsed="false">
      <c r="A87" s="12" t="s">
        <v>127</v>
      </c>
      <c r="B87" s="12" t="s">
        <v>508</v>
      </c>
      <c r="C87" s="12" t="n">
        <v>73</v>
      </c>
      <c r="D87" s="13" t="str">
        <f aca="false">HYPERLINK(BaseURL&amp;"/proposals/project-matador-gas-plant-pmg-rvwzbv","Project Matador Gas Plant (PMG)")</f>
        <v>Project Matador Gas Plant (PMG)</v>
      </c>
      <c r="E87" s="12" t="s">
        <v>465</v>
      </c>
      <c r="F87" s="12" t="s">
        <v>86</v>
      </c>
      <c r="G87" s="12" t="s">
        <v>466</v>
      </c>
      <c r="H87" s="12" t="s">
        <v>83</v>
      </c>
      <c r="I87" s="14" t="s">
        <v>458</v>
      </c>
      <c r="J87" s="12" t="s">
        <v>602</v>
      </c>
      <c r="K87" s="12" t="s">
        <v>510</v>
      </c>
      <c r="L87" s="12" t="s">
        <v>471</v>
      </c>
      <c r="M87" s="12" t="s">
        <v>480</v>
      </c>
      <c r="N87" s="14" t="s">
        <v>130</v>
      </c>
      <c r="O87" s="14"/>
      <c r="P87" s="12" t="s">
        <v>131</v>
      </c>
      <c r="Q87" s="12" t="s">
        <v>657</v>
      </c>
      <c r="R87" s="12" t="s">
        <v>658</v>
      </c>
    </row>
    <row r="88" customFormat="false" ht="30" hidden="false" customHeight="true" outlineLevel="0" collapsed="false">
      <c r="A88" s="12" t="s">
        <v>127</v>
      </c>
      <c r="B88" s="12" t="s">
        <v>508</v>
      </c>
      <c r="C88" s="12" t="n">
        <v>74</v>
      </c>
      <c r="D88" s="13" t="str">
        <f aca="false">HYPERLINK(BaseURL&amp;"/proposals/project-matador-gas-plant-pmg-6nhj72","Project Matador Gas Plant (PMG)")</f>
        <v>Project Matador Gas Plant (PMG)</v>
      </c>
      <c r="E88" s="12" t="s">
        <v>465</v>
      </c>
      <c r="F88" s="12" t="s">
        <v>86</v>
      </c>
      <c r="G88" s="12" t="s">
        <v>466</v>
      </c>
      <c r="H88" s="12" t="s">
        <v>83</v>
      </c>
      <c r="I88" s="14" t="s">
        <v>458</v>
      </c>
      <c r="J88" s="12" t="s">
        <v>602</v>
      </c>
      <c r="K88" s="12" t="s">
        <v>510</v>
      </c>
      <c r="L88" s="12" t="s">
        <v>471</v>
      </c>
      <c r="M88" s="12" t="s">
        <v>480</v>
      </c>
      <c r="N88" s="14" t="s">
        <v>130</v>
      </c>
      <c r="O88" s="14"/>
      <c r="P88" s="12" t="s">
        <v>131</v>
      </c>
      <c r="Q88" s="12" t="s">
        <v>659</v>
      </c>
      <c r="R88" s="12" t="s">
        <v>660</v>
      </c>
    </row>
    <row r="89" customFormat="false" ht="30" hidden="false" customHeight="true" outlineLevel="0" collapsed="false">
      <c r="A89" s="12" t="s">
        <v>127</v>
      </c>
      <c r="B89" s="12" t="s">
        <v>508</v>
      </c>
      <c r="C89" s="12" t="n">
        <v>75</v>
      </c>
      <c r="D89" s="13" t="str">
        <f aca="false">HYPERLINK(BaseURL&amp;"/proposals/project-matador-gas-plant-pmg-kep556","Project Matador Gas Plant (PMG)")</f>
        <v>Project Matador Gas Plant (PMG)</v>
      </c>
      <c r="E89" s="12" t="s">
        <v>465</v>
      </c>
      <c r="F89" s="12" t="s">
        <v>86</v>
      </c>
      <c r="G89" s="12" t="s">
        <v>466</v>
      </c>
      <c r="H89" s="12" t="s">
        <v>83</v>
      </c>
      <c r="I89" s="14" t="s">
        <v>458</v>
      </c>
      <c r="J89" s="12" t="s">
        <v>602</v>
      </c>
      <c r="K89" s="12" t="s">
        <v>510</v>
      </c>
      <c r="L89" s="12" t="s">
        <v>471</v>
      </c>
      <c r="M89" s="12" t="s">
        <v>480</v>
      </c>
      <c r="N89" s="14" t="s">
        <v>130</v>
      </c>
      <c r="O89" s="14"/>
      <c r="P89" s="12" t="s">
        <v>131</v>
      </c>
      <c r="Q89" s="12" t="s">
        <v>661</v>
      </c>
      <c r="R89" s="12" t="s">
        <v>662</v>
      </c>
    </row>
    <row r="90" customFormat="false" ht="30" hidden="false" customHeight="true" outlineLevel="0" collapsed="false">
      <c r="A90" s="12" t="s">
        <v>127</v>
      </c>
      <c r="B90" s="12" t="s">
        <v>508</v>
      </c>
      <c r="C90" s="12" t="n">
        <v>76</v>
      </c>
      <c r="D90" s="13" t="str">
        <f aca="false">HYPERLINK(BaseURL&amp;"/proposals/project-matador-gas-plant-pmg-1gbc5e","Project Matador Gas Plant (PMG)")</f>
        <v>Project Matador Gas Plant (PMG)</v>
      </c>
      <c r="E90" s="12" t="s">
        <v>465</v>
      </c>
      <c r="F90" s="12" t="s">
        <v>86</v>
      </c>
      <c r="G90" s="12" t="s">
        <v>466</v>
      </c>
      <c r="H90" s="12" t="s">
        <v>83</v>
      </c>
      <c r="I90" s="14" t="s">
        <v>458</v>
      </c>
      <c r="J90" s="12" t="s">
        <v>602</v>
      </c>
      <c r="K90" s="12" t="s">
        <v>510</v>
      </c>
      <c r="L90" s="12" t="s">
        <v>471</v>
      </c>
      <c r="M90" s="12" t="s">
        <v>480</v>
      </c>
      <c r="N90" s="14" t="s">
        <v>130</v>
      </c>
      <c r="O90" s="14"/>
      <c r="P90" s="12" t="s">
        <v>131</v>
      </c>
      <c r="Q90" s="12" t="s">
        <v>663</v>
      </c>
      <c r="R90" s="12" t="s">
        <v>664</v>
      </c>
    </row>
    <row r="91" customFormat="false" ht="30" hidden="false" customHeight="true" outlineLevel="0" collapsed="false">
      <c r="A91" s="12" t="s">
        <v>127</v>
      </c>
      <c r="B91" s="12" t="s">
        <v>508</v>
      </c>
      <c r="C91" s="12" t="n">
        <v>77</v>
      </c>
      <c r="D91" s="13" t="str">
        <f aca="false">HYPERLINK(BaseURL&amp;"/proposals/project-matador-gas-plant-pmg-zkb14w","Project Matador Gas Plant (PMG)")</f>
        <v>Project Matador Gas Plant (PMG)</v>
      </c>
      <c r="E91" s="12" t="s">
        <v>465</v>
      </c>
      <c r="F91" s="12" t="s">
        <v>86</v>
      </c>
      <c r="G91" s="12" t="s">
        <v>466</v>
      </c>
      <c r="H91" s="12" t="s">
        <v>83</v>
      </c>
      <c r="I91" s="14" t="s">
        <v>458</v>
      </c>
      <c r="J91" s="12" t="s">
        <v>602</v>
      </c>
      <c r="K91" s="12" t="s">
        <v>510</v>
      </c>
      <c r="L91" s="12" t="s">
        <v>471</v>
      </c>
      <c r="M91" s="12" t="s">
        <v>480</v>
      </c>
      <c r="N91" s="14" t="s">
        <v>130</v>
      </c>
      <c r="O91" s="14"/>
      <c r="P91" s="12" t="s">
        <v>131</v>
      </c>
      <c r="Q91" s="12" t="s">
        <v>665</v>
      </c>
      <c r="R91" s="12" t="s">
        <v>666</v>
      </c>
    </row>
    <row r="92" customFormat="false" ht="30" hidden="false" customHeight="true" outlineLevel="0" collapsed="false">
      <c r="A92" s="12" t="s">
        <v>127</v>
      </c>
      <c r="B92" s="12" t="s">
        <v>508</v>
      </c>
      <c r="C92" s="12" t="n">
        <v>78</v>
      </c>
      <c r="D92" s="13" t="str">
        <f aca="false">HYPERLINK(BaseURL&amp;"/proposals/project-matador-gas-plant-pmg-3vht1f","Project Matador Gas Plant (PMG)")</f>
        <v>Project Matador Gas Plant (PMG)</v>
      </c>
      <c r="E92" s="12" t="s">
        <v>465</v>
      </c>
      <c r="F92" s="12" t="s">
        <v>86</v>
      </c>
      <c r="G92" s="12" t="s">
        <v>466</v>
      </c>
      <c r="H92" s="12" t="s">
        <v>83</v>
      </c>
      <c r="I92" s="14" t="s">
        <v>458</v>
      </c>
      <c r="J92" s="12" t="s">
        <v>602</v>
      </c>
      <c r="K92" s="12" t="s">
        <v>510</v>
      </c>
      <c r="L92" s="12" t="s">
        <v>471</v>
      </c>
      <c r="M92" s="12" t="s">
        <v>480</v>
      </c>
      <c r="N92" s="14" t="s">
        <v>130</v>
      </c>
      <c r="O92" s="14"/>
      <c r="P92" s="12" t="s">
        <v>131</v>
      </c>
      <c r="Q92" s="12" t="s">
        <v>667</v>
      </c>
      <c r="R92" s="12" t="s">
        <v>668</v>
      </c>
    </row>
    <row r="93" customFormat="false" ht="30" hidden="false" customHeight="true" outlineLevel="0" collapsed="false">
      <c r="A93" s="12" t="s">
        <v>127</v>
      </c>
      <c r="B93" s="12" t="s">
        <v>508</v>
      </c>
      <c r="C93" s="12" t="n">
        <v>79</v>
      </c>
      <c r="D93" s="13" t="str">
        <f aca="false">HYPERLINK(BaseURL&amp;"/proposals/project-matador-gas-plant-pmg-c776ze","Project Matador Gas Plant (PMG)")</f>
        <v>Project Matador Gas Plant (PMG)</v>
      </c>
      <c r="E93" s="12" t="s">
        <v>465</v>
      </c>
      <c r="F93" s="12" t="s">
        <v>86</v>
      </c>
      <c r="G93" s="12" t="s">
        <v>466</v>
      </c>
      <c r="H93" s="12" t="s">
        <v>83</v>
      </c>
      <c r="I93" s="14" t="s">
        <v>458</v>
      </c>
      <c r="J93" s="12" t="s">
        <v>602</v>
      </c>
      <c r="K93" s="12" t="s">
        <v>510</v>
      </c>
      <c r="L93" s="12" t="s">
        <v>471</v>
      </c>
      <c r="M93" s="12" t="s">
        <v>480</v>
      </c>
      <c r="N93" s="14" t="s">
        <v>130</v>
      </c>
      <c r="O93" s="14"/>
      <c r="P93" s="12" t="s">
        <v>131</v>
      </c>
      <c r="Q93" s="12" t="s">
        <v>669</v>
      </c>
      <c r="R93" s="12" t="s">
        <v>670</v>
      </c>
    </row>
    <row r="94" customFormat="false" ht="30" hidden="false" customHeight="true" outlineLevel="0" collapsed="false">
      <c r="A94" s="12" t="s">
        <v>127</v>
      </c>
      <c r="B94" s="12" t="s">
        <v>508</v>
      </c>
      <c r="C94" s="12" t="n">
        <v>80</v>
      </c>
      <c r="D94" s="13" t="str">
        <f aca="false">HYPERLINK(BaseURL&amp;"/proposals/project-matador-gas-plant-pmg-1emrrb","Project Matador Gas Plant (PMG)")</f>
        <v>Project Matador Gas Plant (PMG)</v>
      </c>
      <c r="E94" s="12" t="s">
        <v>465</v>
      </c>
      <c r="F94" s="12" t="s">
        <v>86</v>
      </c>
      <c r="G94" s="12" t="s">
        <v>466</v>
      </c>
      <c r="H94" s="12" t="s">
        <v>83</v>
      </c>
      <c r="I94" s="14" t="s">
        <v>458</v>
      </c>
      <c r="J94" s="12" t="s">
        <v>602</v>
      </c>
      <c r="K94" s="12" t="s">
        <v>510</v>
      </c>
      <c r="L94" s="12" t="s">
        <v>471</v>
      </c>
      <c r="M94" s="12" t="s">
        <v>480</v>
      </c>
      <c r="N94" s="14" t="s">
        <v>130</v>
      </c>
      <c r="O94" s="14"/>
      <c r="P94" s="12" t="s">
        <v>131</v>
      </c>
      <c r="Q94" s="12" t="s">
        <v>671</v>
      </c>
      <c r="R94" s="12" t="s">
        <v>672</v>
      </c>
    </row>
    <row r="95" customFormat="false" ht="30" hidden="false" customHeight="true" outlineLevel="0" collapsed="false">
      <c r="A95" s="12" t="s">
        <v>127</v>
      </c>
      <c r="B95" s="12" t="s">
        <v>508</v>
      </c>
      <c r="C95" s="12" t="n">
        <v>81</v>
      </c>
      <c r="D95" s="13" t="str">
        <f aca="false">HYPERLINK(BaseURL&amp;"/proposals/project-matador-gas-plant-pmg-qf422z","Project Matador Gas Plant (PMG)")</f>
        <v>Project Matador Gas Plant (PMG)</v>
      </c>
      <c r="E95" s="12" t="s">
        <v>465</v>
      </c>
      <c r="F95" s="12" t="s">
        <v>86</v>
      </c>
      <c r="G95" s="12" t="s">
        <v>466</v>
      </c>
      <c r="H95" s="12" t="s">
        <v>83</v>
      </c>
      <c r="I95" s="14" t="s">
        <v>458</v>
      </c>
      <c r="J95" s="12" t="s">
        <v>602</v>
      </c>
      <c r="K95" s="12" t="s">
        <v>510</v>
      </c>
      <c r="L95" s="12" t="s">
        <v>471</v>
      </c>
      <c r="M95" s="12" t="s">
        <v>480</v>
      </c>
      <c r="N95" s="14" t="s">
        <v>130</v>
      </c>
      <c r="O95" s="14"/>
      <c r="P95" s="12" t="s">
        <v>131</v>
      </c>
      <c r="Q95" s="12" t="s">
        <v>673</v>
      </c>
      <c r="R95" s="12" t="s">
        <v>674</v>
      </c>
    </row>
    <row r="96" customFormat="false" ht="30" hidden="false" customHeight="true" outlineLevel="0" collapsed="false">
      <c r="A96" s="12" t="s">
        <v>127</v>
      </c>
      <c r="B96" s="12" t="s">
        <v>508</v>
      </c>
      <c r="C96" s="12" t="n">
        <v>82</v>
      </c>
      <c r="D96" s="13" t="str">
        <f aca="false">HYPERLINK(BaseURL&amp;"/proposals/project-matador-gas-plant-pmg-y2c8df","Project Matador Gas Plant (PMG)")</f>
        <v>Project Matador Gas Plant (PMG)</v>
      </c>
      <c r="E96" s="12" t="s">
        <v>465</v>
      </c>
      <c r="F96" s="12" t="s">
        <v>86</v>
      </c>
      <c r="G96" s="12" t="s">
        <v>466</v>
      </c>
      <c r="H96" s="12" t="s">
        <v>83</v>
      </c>
      <c r="I96" s="14" t="s">
        <v>458</v>
      </c>
      <c r="J96" s="12" t="s">
        <v>602</v>
      </c>
      <c r="K96" s="12" t="s">
        <v>510</v>
      </c>
      <c r="L96" s="12" t="s">
        <v>471</v>
      </c>
      <c r="M96" s="12" t="s">
        <v>480</v>
      </c>
      <c r="N96" s="14" t="s">
        <v>130</v>
      </c>
      <c r="O96" s="14"/>
      <c r="P96" s="12" t="s">
        <v>131</v>
      </c>
      <c r="Q96" s="12" t="s">
        <v>675</v>
      </c>
      <c r="R96" s="12" t="s">
        <v>676</v>
      </c>
    </row>
    <row r="97" customFormat="false" ht="30" hidden="false" customHeight="true" outlineLevel="0" collapsed="false">
      <c r="A97" s="12" t="s">
        <v>127</v>
      </c>
      <c r="B97" s="12" t="s">
        <v>508</v>
      </c>
      <c r="C97" s="12" t="n">
        <v>83</v>
      </c>
      <c r="D97" s="13" t="str">
        <f aca="false">HYPERLINK(BaseURL&amp;"/proposals/project-matador-gas-plant-pmg-317kth","Project Matador Gas Plant (PMG)")</f>
        <v>Project Matador Gas Plant (PMG)</v>
      </c>
      <c r="E97" s="12" t="s">
        <v>465</v>
      </c>
      <c r="F97" s="12" t="s">
        <v>86</v>
      </c>
      <c r="G97" s="12" t="s">
        <v>466</v>
      </c>
      <c r="H97" s="12" t="s">
        <v>83</v>
      </c>
      <c r="I97" s="14" t="s">
        <v>458</v>
      </c>
      <c r="J97" s="12" t="s">
        <v>602</v>
      </c>
      <c r="K97" s="12" t="s">
        <v>510</v>
      </c>
      <c r="L97" s="12" t="s">
        <v>471</v>
      </c>
      <c r="M97" s="12" t="s">
        <v>480</v>
      </c>
      <c r="N97" s="14" t="s">
        <v>130</v>
      </c>
      <c r="O97" s="14"/>
      <c r="P97" s="12" t="s">
        <v>131</v>
      </c>
      <c r="Q97" s="12" t="s">
        <v>677</v>
      </c>
      <c r="R97" s="12" t="s">
        <v>678</v>
      </c>
    </row>
    <row r="98" customFormat="false" ht="30" hidden="false" customHeight="true" outlineLevel="0" collapsed="false">
      <c r="A98" s="12" t="s">
        <v>127</v>
      </c>
      <c r="B98" s="12" t="s">
        <v>508</v>
      </c>
      <c r="C98" s="12" t="n">
        <v>84</v>
      </c>
      <c r="D98" s="13" t="str">
        <f aca="false">HYPERLINK(BaseURL&amp;"/proposals/project-matador-gas-plant-pmg-2fn4d9","Project Matador Gas Plant (PMG)")</f>
        <v>Project Matador Gas Plant (PMG)</v>
      </c>
      <c r="E98" s="12" t="s">
        <v>465</v>
      </c>
      <c r="F98" s="12" t="s">
        <v>86</v>
      </c>
      <c r="G98" s="12" t="s">
        <v>466</v>
      </c>
      <c r="H98" s="12" t="s">
        <v>83</v>
      </c>
      <c r="I98" s="14" t="s">
        <v>458</v>
      </c>
      <c r="J98" s="12" t="s">
        <v>602</v>
      </c>
      <c r="K98" s="12" t="s">
        <v>510</v>
      </c>
      <c r="L98" s="12" t="s">
        <v>471</v>
      </c>
      <c r="M98" s="12" t="s">
        <v>480</v>
      </c>
      <c r="N98" s="14" t="s">
        <v>130</v>
      </c>
      <c r="O98" s="14"/>
      <c r="P98" s="12" t="s">
        <v>131</v>
      </c>
      <c r="Q98" s="12" t="s">
        <v>679</v>
      </c>
      <c r="R98" s="12" t="s">
        <v>680</v>
      </c>
    </row>
    <row r="99" customFormat="false" ht="30" hidden="false" customHeight="true" outlineLevel="0" collapsed="false">
      <c r="A99" s="12" t="s">
        <v>127</v>
      </c>
      <c r="B99" s="12" t="s">
        <v>508</v>
      </c>
      <c r="C99" s="12" t="n">
        <v>85</v>
      </c>
      <c r="D99" s="13" t="str">
        <f aca="false">HYPERLINK(BaseURL&amp;"/proposals/project-matador-gas-plant-pmg-an8yp3","Project Matador Gas Plant (PMG)")</f>
        <v>Project Matador Gas Plant (PMG)</v>
      </c>
      <c r="E99" s="12" t="s">
        <v>465</v>
      </c>
      <c r="F99" s="12" t="s">
        <v>86</v>
      </c>
      <c r="G99" s="12" t="s">
        <v>466</v>
      </c>
      <c r="H99" s="12" t="s">
        <v>83</v>
      </c>
      <c r="I99" s="14" t="s">
        <v>458</v>
      </c>
      <c r="J99" s="12" t="s">
        <v>602</v>
      </c>
      <c r="K99" s="12" t="s">
        <v>510</v>
      </c>
      <c r="L99" s="12" t="s">
        <v>471</v>
      </c>
      <c r="M99" s="12" t="s">
        <v>480</v>
      </c>
      <c r="N99" s="14" t="s">
        <v>130</v>
      </c>
      <c r="O99" s="14"/>
      <c r="P99" s="12" t="s">
        <v>131</v>
      </c>
      <c r="Q99" s="12" t="s">
        <v>681</v>
      </c>
      <c r="R99" s="12" t="s">
        <v>682</v>
      </c>
    </row>
    <row r="100" customFormat="false" ht="30" hidden="false" customHeight="true" outlineLevel="0" collapsed="false">
      <c r="A100" s="12" t="s">
        <v>127</v>
      </c>
      <c r="B100" s="12" t="s">
        <v>508</v>
      </c>
      <c r="C100" s="12" t="n">
        <v>86</v>
      </c>
      <c r="D100" s="13" t="str">
        <f aca="false">HYPERLINK(BaseURL&amp;"/proposals/project-matador-gas-plant-pmg-yjjars","Project Matador Gas Plant (PMG)")</f>
        <v>Project Matador Gas Plant (PMG)</v>
      </c>
      <c r="E100" s="12" t="s">
        <v>465</v>
      </c>
      <c r="F100" s="12" t="s">
        <v>86</v>
      </c>
      <c r="G100" s="12" t="s">
        <v>466</v>
      </c>
      <c r="H100" s="12" t="s">
        <v>83</v>
      </c>
      <c r="I100" s="14" t="s">
        <v>458</v>
      </c>
      <c r="J100" s="12" t="s">
        <v>602</v>
      </c>
      <c r="K100" s="12" t="s">
        <v>510</v>
      </c>
      <c r="L100" s="12" t="s">
        <v>471</v>
      </c>
      <c r="M100" s="12" t="s">
        <v>480</v>
      </c>
      <c r="N100" s="14" t="s">
        <v>130</v>
      </c>
      <c r="O100" s="14"/>
      <c r="P100" s="12" t="s">
        <v>131</v>
      </c>
      <c r="Q100" s="12" t="s">
        <v>683</v>
      </c>
      <c r="R100" s="12" t="s">
        <v>684</v>
      </c>
    </row>
    <row r="101" customFormat="false" ht="30" hidden="false" customHeight="true" outlineLevel="0" collapsed="false">
      <c r="A101" s="12" t="s">
        <v>127</v>
      </c>
      <c r="B101" s="12" t="s">
        <v>508</v>
      </c>
      <c r="C101" s="12" t="n">
        <v>87</v>
      </c>
      <c r="D101" s="13" t="str">
        <f aca="false">HYPERLINK(BaseURL&amp;"/proposals/project-matador-gas-plant-pmg-xgsyzk","Project Matador Gas Plant (PMG)")</f>
        <v>Project Matador Gas Plant (PMG)</v>
      </c>
      <c r="E101" s="12" t="s">
        <v>465</v>
      </c>
      <c r="F101" s="12" t="s">
        <v>86</v>
      </c>
      <c r="G101" s="12" t="s">
        <v>466</v>
      </c>
      <c r="H101" s="12" t="s">
        <v>83</v>
      </c>
      <c r="I101" s="14" t="s">
        <v>458</v>
      </c>
      <c r="J101" s="12" t="s">
        <v>602</v>
      </c>
      <c r="K101" s="12" t="s">
        <v>510</v>
      </c>
      <c r="L101" s="12" t="s">
        <v>471</v>
      </c>
      <c r="M101" s="12" t="s">
        <v>480</v>
      </c>
      <c r="N101" s="14" t="s">
        <v>130</v>
      </c>
      <c r="O101" s="14"/>
      <c r="P101" s="12" t="s">
        <v>131</v>
      </c>
      <c r="Q101" s="12" t="s">
        <v>685</v>
      </c>
      <c r="R101" s="12" t="s">
        <v>686</v>
      </c>
    </row>
    <row r="102" customFormat="false" ht="30" hidden="false" customHeight="true" outlineLevel="0" collapsed="false">
      <c r="A102" s="12" t="s">
        <v>127</v>
      </c>
      <c r="B102" s="12" t="s">
        <v>508</v>
      </c>
      <c r="C102" s="12" t="n">
        <v>88</v>
      </c>
      <c r="D102" s="13" t="str">
        <f aca="false">HYPERLINK(BaseURL&amp;"/proposals/project-matador-gas-plant-pmg-jz6325","Project Matador Gas Plant (PMG)")</f>
        <v>Project Matador Gas Plant (PMG)</v>
      </c>
      <c r="E102" s="12" t="s">
        <v>465</v>
      </c>
      <c r="F102" s="12" t="s">
        <v>86</v>
      </c>
      <c r="G102" s="12" t="s">
        <v>466</v>
      </c>
      <c r="H102" s="12" t="s">
        <v>83</v>
      </c>
      <c r="I102" s="14" t="s">
        <v>458</v>
      </c>
      <c r="J102" s="12" t="s">
        <v>602</v>
      </c>
      <c r="K102" s="12" t="s">
        <v>510</v>
      </c>
      <c r="L102" s="12" t="s">
        <v>471</v>
      </c>
      <c r="M102" s="12" t="s">
        <v>480</v>
      </c>
      <c r="N102" s="14" t="s">
        <v>130</v>
      </c>
      <c r="O102" s="14"/>
      <c r="P102" s="12" t="s">
        <v>131</v>
      </c>
      <c r="Q102" s="12" t="s">
        <v>687</v>
      </c>
      <c r="R102" s="12" t="s">
        <v>688</v>
      </c>
    </row>
    <row r="103" customFormat="false" ht="30" hidden="false" customHeight="true" outlineLevel="0" collapsed="false">
      <c r="A103" s="12" t="s">
        <v>127</v>
      </c>
      <c r="B103" s="12" t="s">
        <v>508</v>
      </c>
      <c r="C103" s="12" t="n">
        <v>89</v>
      </c>
      <c r="D103" s="13" t="str">
        <f aca="false">HYPERLINK(BaseURL&amp;"/proposals/project-matador-gas-plant-pmg-fkbtn8","Project Matador Gas Plant (PMG)")</f>
        <v>Project Matador Gas Plant (PMG)</v>
      </c>
      <c r="E103" s="12" t="s">
        <v>465</v>
      </c>
      <c r="F103" s="12" t="s">
        <v>86</v>
      </c>
      <c r="G103" s="12" t="s">
        <v>466</v>
      </c>
      <c r="H103" s="12" t="s">
        <v>83</v>
      </c>
      <c r="I103" s="14" t="s">
        <v>458</v>
      </c>
      <c r="J103" s="12" t="s">
        <v>602</v>
      </c>
      <c r="K103" s="12" t="s">
        <v>510</v>
      </c>
      <c r="L103" s="12" t="s">
        <v>471</v>
      </c>
      <c r="M103" s="12" t="s">
        <v>480</v>
      </c>
      <c r="N103" s="14" t="s">
        <v>130</v>
      </c>
      <c r="O103" s="14"/>
      <c r="P103" s="12" t="s">
        <v>131</v>
      </c>
      <c r="Q103" s="12" t="s">
        <v>689</v>
      </c>
      <c r="R103" s="12" t="s">
        <v>690</v>
      </c>
    </row>
    <row r="104" customFormat="false" ht="30" hidden="false" customHeight="true" outlineLevel="0" collapsed="false">
      <c r="A104" s="12" t="s">
        <v>127</v>
      </c>
      <c r="B104" s="12" t="s">
        <v>508</v>
      </c>
      <c r="C104" s="12" t="n">
        <v>90</v>
      </c>
      <c r="D104" s="13" t="str">
        <f aca="false">HYPERLINK(BaseURL&amp;"/proposals/project-matador-gas-plant-pmg-hkh9ec","Project Matador Gas Plant (PMG)")</f>
        <v>Project Matador Gas Plant (PMG)</v>
      </c>
      <c r="E104" s="12" t="s">
        <v>465</v>
      </c>
      <c r="F104" s="12" t="s">
        <v>86</v>
      </c>
      <c r="G104" s="12" t="s">
        <v>466</v>
      </c>
      <c r="H104" s="12" t="s">
        <v>83</v>
      </c>
      <c r="I104" s="14" t="s">
        <v>458</v>
      </c>
      <c r="J104" s="12" t="s">
        <v>602</v>
      </c>
      <c r="K104" s="12" t="s">
        <v>510</v>
      </c>
      <c r="L104" s="12" t="s">
        <v>471</v>
      </c>
      <c r="M104" s="12" t="s">
        <v>480</v>
      </c>
      <c r="N104" s="14" t="s">
        <v>130</v>
      </c>
      <c r="O104" s="14"/>
      <c r="P104" s="12" t="s">
        <v>131</v>
      </c>
      <c r="Q104" s="12" t="s">
        <v>691</v>
      </c>
      <c r="R104" s="12" t="s">
        <v>692</v>
      </c>
    </row>
    <row r="105" customFormat="false" ht="30" hidden="false" customHeight="true" outlineLevel="0" collapsed="false">
      <c r="A105" s="12" t="s">
        <v>127</v>
      </c>
      <c r="B105" s="12" t="s">
        <v>508</v>
      </c>
      <c r="C105" s="12" t="n">
        <v>91</v>
      </c>
      <c r="D105" s="13" t="str">
        <f aca="false">HYPERLINK(BaseURL&amp;"/proposals/project-matador-gas-plant-pmg-gr195t","Project Matador Gas Plant (PMG)")</f>
        <v>Project Matador Gas Plant (PMG)</v>
      </c>
      <c r="E105" s="12" t="s">
        <v>465</v>
      </c>
      <c r="F105" s="12" t="s">
        <v>86</v>
      </c>
      <c r="G105" s="12" t="s">
        <v>466</v>
      </c>
      <c r="H105" s="12" t="s">
        <v>83</v>
      </c>
      <c r="I105" s="14" t="s">
        <v>458</v>
      </c>
      <c r="J105" s="12" t="s">
        <v>602</v>
      </c>
      <c r="K105" s="12" t="s">
        <v>510</v>
      </c>
      <c r="L105" s="12" t="s">
        <v>471</v>
      </c>
      <c r="M105" s="12" t="s">
        <v>480</v>
      </c>
      <c r="N105" s="14" t="s">
        <v>130</v>
      </c>
      <c r="O105" s="14"/>
      <c r="P105" s="12" t="s">
        <v>131</v>
      </c>
      <c r="Q105" s="12" t="s">
        <v>693</v>
      </c>
      <c r="R105" s="12" t="s">
        <v>694</v>
      </c>
    </row>
    <row r="106" customFormat="false" ht="30" hidden="false" customHeight="true" outlineLevel="0" collapsed="false">
      <c r="A106" s="12" t="s">
        <v>127</v>
      </c>
      <c r="B106" s="12" t="s">
        <v>508</v>
      </c>
      <c r="C106" s="12" t="n">
        <v>92</v>
      </c>
      <c r="D106" s="13" t="str">
        <f aca="false">HYPERLINK(BaseURL&amp;"/proposals/project-matador-gas-plant-pmg-099cxk","Project Matador Gas Plant (PMG)")</f>
        <v>Project Matador Gas Plant (PMG)</v>
      </c>
      <c r="E106" s="12" t="s">
        <v>465</v>
      </c>
      <c r="F106" s="12" t="s">
        <v>86</v>
      </c>
      <c r="G106" s="12" t="s">
        <v>466</v>
      </c>
      <c r="H106" s="12" t="s">
        <v>83</v>
      </c>
      <c r="I106" s="14" t="s">
        <v>458</v>
      </c>
      <c r="J106" s="12" t="s">
        <v>602</v>
      </c>
      <c r="K106" s="12" t="s">
        <v>510</v>
      </c>
      <c r="L106" s="12" t="s">
        <v>471</v>
      </c>
      <c r="M106" s="12" t="s">
        <v>480</v>
      </c>
      <c r="N106" s="14" t="s">
        <v>130</v>
      </c>
      <c r="O106" s="14"/>
      <c r="P106" s="12" t="s">
        <v>131</v>
      </c>
      <c r="Q106" s="12" t="s">
        <v>695</v>
      </c>
      <c r="R106" s="12" t="s">
        <v>696</v>
      </c>
    </row>
    <row r="107" customFormat="false" ht="30" hidden="false" customHeight="true" outlineLevel="0" collapsed="false">
      <c r="A107" s="12" t="s">
        <v>127</v>
      </c>
      <c r="B107" s="12" t="s">
        <v>508</v>
      </c>
      <c r="C107" s="12" t="n">
        <v>93</v>
      </c>
      <c r="D107" s="13" t="str">
        <f aca="false">HYPERLINK(BaseURL&amp;"/proposals/project-matador-gas-plant-pmg-ta95zt","Project Matador Gas Plant (PMG)")</f>
        <v>Project Matador Gas Plant (PMG)</v>
      </c>
      <c r="E107" s="12" t="s">
        <v>465</v>
      </c>
      <c r="F107" s="12" t="s">
        <v>86</v>
      </c>
      <c r="G107" s="12" t="s">
        <v>466</v>
      </c>
      <c r="H107" s="12" t="s">
        <v>83</v>
      </c>
      <c r="I107" s="14" t="s">
        <v>458</v>
      </c>
      <c r="J107" s="12" t="s">
        <v>602</v>
      </c>
      <c r="K107" s="12" t="s">
        <v>510</v>
      </c>
      <c r="L107" s="12" t="s">
        <v>471</v>
      </c>
      <c r="M107" s="12" t="s">
        <v>480</v>
      </c>
      <c r="N107" s="14" t="s">
        <v>130</v>
      </c>
      <c r="O107" s="14"/>
      <c r="P107" s="12" t="s">
        <v>131</v>
      </c>
      <c r="Q107" s="12" t="s">
        <v>697</v>
      </c>
      <c r="R107" s="12" t="s">
        <v>698</v>
      </c>
    </row>
    <row r="108" customFormat="false" ht="30" hidden="false" customHeight="true" outlineLevel="0" collapsed="false">
      <c r="A108" s="12" t="s">
        <v>127</v>
      </c>
      <c r="B108" s="12" t="s">
        <v>508</v>
      </c>
      <c r="C108" s="12" t="n">
        <v>94</v>
      </c>
      <c r="D108" s="13" t="str">
        <f aca="false">HYPERLINK(BaseURL&amp;"/proposals/project-matador-gas-plant-pmg-x70w7b","Project Matador Gas Plant (PMG)")</f>
        <v>Project Matador Gas Plant (PMG)</v>
      </c>
      <c r="E108" s="12" t="s">
        <v>465</v>
      </c>
      <c r="F108" s="12" t="s">
        <v>86</v>
      </c>
      <c r="G108" s="12" t="s">
        <v>466</v>
      </c>
      <c r="H108" s="12" t="s">
        <v>83</v>
      </c>
      <c r="I108" s="14" t="s">
        <v>458</v>
      </c>
      <c r="J108" s="12" t="s">
        <v>602</v>
      </c>
      <c r="K108" s="12" t="s">
        <v>510</v>
      </c>
      <c r="L108" s="12" t="s">
        <v>471</v>
      </c>
      <c r="M108" s="12" t="s">
        <v>480</v>
      </c>
      <c r="N108" s="14" t="s">
        <v>130</v>
      </c>
      <c r="O108" s="14"/>
      <c r="P108" s="12" t="s">
        <v>131</v>
      </c>
      <c r="Q108" s="12" t="s">
        <v>699</v>
      </c>
      <c r="R108" s="12" t="s">
        <v>700</v>
      </c>
    </row>
    <row r="109" customFormat="false" ht="30" hidden="false" customHeight="true" outlineLevel="0" collapsed="false">
      <c r="A109" s="12" t="s">
        <v>127</v>
      </c>
      <c r="B109" s="12" t="s">
        <v>508</v>
      </c>
      <c r="C109" s="12" t="n">
        <v>95</v>
      </c>
      <c r="D109" s="13" t="str">
        <f aca="false">HYPERLINK(BaseURL&amp;"/proposals/project-matador-gas-plant-pmg-amfhd9","Project Matador Gas Plant (PMG)")</f>
        <v>Project Matador Gas Plant (PMG)</v>
      </c>
      <c r="E109" s="12" t="s">
        <v>465</v>
      </c>
      <c r="F109" s="12" t="s">
        <v>86</v>
      </c>
      <c r="G109" s="12" t="s">
        <v>466</v>
      </c>
      <c r="H109" s="12" t="s">
        <v>83</v>
      </c>
      <c r="I109" s="14" t="s">
        <v>458</v>
      </c>
      <c r="J109" s="12" t="s">
        <v>602</v>
      </c>
      <c r="K109" s="12" t="s">
        <v>510</v>
      </c>
      <c r="L109" s="12" t="s">
        <v>471</v>
      </c>
      <c r="M109" s="12" t="s">
        <v>480</v>
      </c>
      <c r="N109" s="14" t="s">
        <v>130</v>
      </c>
      <c r="O109" s="14"/>
      <c r="P109" s="12" t="s">
        <v>131</v>
      </c>
      <c r="Q109" s="12" t="s">
        <v>701</v>
      </c>
      <c r="R109" s="12" t="s">
        <v>702</v>
      </c>
    </row>
    <row r="110" customFormat="false" ht="30" hidden="false" customHeight="true" outlineLevel="0" collapsed="false">
      <c r="A110" s="12" t="s">
        <v>127</v>
      </c>
      <c r="B110" s="12" t="s">
        <v>508</v>
      </c>
      <c r="C110" s="12" t="n">
        <v>96</v>
      </c>
      <c r="D110" s="13" t="str">
        <f aca="false">HYPERLINK(BaseURL&amp;"/proposals/project-matador-gas-plant-pmg-6azq0v","Project Matador Gas Plant (PMG)")</f>
        <v>Project Matador Gas Plant (PMG)</v>
      </c>
      <c r="E110" s="12" t="s">
        <v>465</v>
      </c>
      <c r="F110" s="12" t="s">
        <v>86</v>
      </c>
      <c r="G110" s="12" t="s">
        <v>466</v>
      </c>
      <c r="H110" s="12" t="s">
        <v>83</v>
      </c>
      <c r="I110" s="14" t="s">
        <v>458</v>
      </c>
      <c r="J110" s="12" t="s">
        <v>602</v>
      </c>
      <c r="K110" s="12" t="s">
        <v>510</v>
      </c>
      <c r="L110" s="12" t="s">
        <v>471</v>
      </c>
      <c r="M110" s="12" t="s">
        <v>480</v>
      </c>
      <c r="N110" s="14" t="s">
        <v>130</v>
      </c>
      <c r="O110" s="14"/>
      <c r="P110" s="12" t="s">
        <v>131</v>
      </c>
      <c r="Q110" s="12" t="s">
        <v>703</v>
      </c>
      <c r="R110" s="12" t="s">
        <v>704</v>
      </c>
    </row>
    <row r="111" customFormat="false" ht="30" hidden="false" customHeight="true" outlineLevel="0" collapsed="false">
      <c r="A111" s="12" t="s">
        <v>127</v>
      </c>
      <c r="B111" s="12" t="s">
        <v>508</v>
      </c>
      <c r="C111" s="12" t="n">
        <v>97</v>
      </c>
      <c r="D111" s="13" t="str">
        <f aca="false">HYPERLINK(BaseURL&amp;"/proposals/project-matador-gas-plant-pmg-qxa52e","Project Matador Gas Plant (PMG)")</f>
        <v>Project Matador Gas Plant (PMG)</v>
      </c>
      <c r="E111" s="12" t="s">
        <v>465</v>
      </c>
      <c r="F111" s="12" t="s">
        <v>86</v>
      </c>
      <c r="G111" s="12" t="s">
        <v>466</v>
      </c>
      <c r="H111" s="12" t="s">
        <v>83</v>
      </c>
      <c r="I111" s="14" t="s">
        <v>458</v>
      </c>
      <c r="J111" s="12" t="s">
        <v>602</v>
      </c>
      <c r="K111" s="12" t="s">
        <v>510</v>
      </c>
      <c r="L111" s="12" t="s">
        <v>471</v>
      </c>
      <c r="M111" s="12" t="s">
        <v>480</v>
      </c>
      <c r="N111" s="14" t="s">
        <v>130</v>
      </c>
      <c r="O111" s="14"/>
      <c r="P111" s="12" t="s">
        <v>131</v>
      </c>
      <c r="Q111" s="12" t="s">
        <v>705</v>
      </c>
      <c r="R111" s="12" t="s">
        <v>706</v>
      </c>
    </row>
    <row r="112" customFormat="false" ht="30" hidden="false" customHeight="true" outlineLevel="0" collapsed="false">
      <c r="A112" s="12" t="s">
        <v>127</v>
      </c>
      <c r="B112" s="12" t="s">
        <v>508</v>
      </c>
      <c r="C112" s="12" t="n">
        <v>98</v>
      </c>
      <c r="D112" s="13" t="str">
        <f aca="false">HYPERLINK(BaseURL&amp;"/proposals/project-matador-gas-plant-pmg-rn48f8","Project Matador Gas Plant (PMG)")</f>
        <v>Project Matador Gas Plant (PMG)</v>
      </c>
      <c r="E112" s="12" t="s">
        <v>465</v>
      </c>
      <c r="F112" s="12" t="s">
        <v>86</v>
      </c>
      <c r="G112" s="12" t="s">
        <v>466</v>
      </c>
      <c r="H112" s="12" t="s">
        <v>83</v>
      </c>
      <c r="I112" s="14" t="s">
        <v>458</v>
      </c>
      <c r="J112" s="12" t="s">
        <v>602</v>
      </c>
      <c r="K112" s="12" t="s">
        <v>510</v>
      </c>
      <c r="L112" s="12" t="s">
        <v>471</v>
      </c>
      <c r="M112" s="12" t="s">
        <v>480</v>
      </c>
      <c r="N112" s="14" t="s">
        <v>130</v>
      </c>
      <c r="O112" s="14"/>
      <c r="P112" s="12" t="s">
        <v>131</v>
      </c>
      <c r="Q112" s="12" t="s">
        <v>707</v>
      </c>
      <c r="R112" s="12" t="s">
        <v>708</v>
      </c>
    </row>
    <row r="113" customFormat="false" ht="30" hidden="false" customHeight="true" outlineLevel="0" collapsed="false">
      <c r="A113" s="12" t="s">
        <v>127</v>
      </c>
      <c r="B113" s="12" t="s">
        <v>508</v>
      </c>
      <c r="C113" s="12" t="n">
        <v>99</v>
      </c>
      <c r="D113" s="13" t="str">
        <f aca="false">HYPERLINK(BaseURL&amp;"/proposals/project-matador-gas-plant-pmg-56143q","Project Matador Gas Plant (PMG)")</f>
        <v>Project Matador Gas Plant (PMG)</v>
      </c>
      <c r="E113" s="12" t="s">
        <v>465</v>
      </c>
      <c r="F113" s="12" t="s">
        <v>86</v>
      </c>
      <c r="G113" s="12" t="s">
        <v>466</v>
      </c>
      <c r="H113" s="12" t="s">
        <v>83</v>
      </c>
      <c r="I113" s="14" t="s">
        <v>458</v>
      </c>
      <c r="J113" s="12" t="s">
        <v>602</v>
      </c>
      <c r="K113" s="12" t="s">
        <v>510</v>
      </c>
      <c r="L113" s="12" t="s">
        <v>471</v>
      </c>
      <c r="M113" s="12" t="s">
        <v>480</v>
      </c>
      <c r="N113" s="14" t="s">
        <v>130</v>
      </c>
      <c r="O113" s="14"/>
      <c r="P113" s="12" t="s">
        <v>131</v>
      </c>
      <c r="Q113" s="12" t="s">
        <v>709</v>
      </c>
      <c r="R113" s="12" t="s">
        <v>710</v>
      </c>
    </row>
    <row r="114" customFormat="false" ht="30" hidden="false" customHeight="true" outlineLevel="0" collapsed="false">
      <c r="A114" s="12" t="s">
        <v>127</v>
      </c>
      <c r="B114" s="12" t="s">
        <v>508</v>
      </c>
      <c r="C114" s="12" t="n">
        <v>100</v>
      </c>
      <c r="D114" s="13" t="str">
        <f aca="false">HYPERLINK(BaseURL&amp;"/proposals/project-matador-gas-plant-pmg-jdeg0b","Project Matador Gas Plant (PMG)")</f>
        <v>Project Matador Gas Plant (PMG)</v>
      </c>
      <c r="E114" s="12" t="s">
        <v>465</v>
      </c>
      <c r="F114" s="12" t="s">
        <v>86</v>
      </c>
      <c r="G114" s="12" t="s">
        <v>466</v>
      </c>
      <c r="H114" s="12" t="s">
        <v>83</v>
      </c>
      <c r="I114" s="14" t="s">
        <v>458</v>
      </c>
      <c r="J114" s="12" t="s">
        <v>602</v>
      </c>
      <c r="K114" s="12" t="s">
        <v>510</v>
      </c>
      <c r="L114" s="12" t="s">
        <v>471</v>
      </c>
      <c r="M114" s="12" t="s">
        <v>480</v>
      </c>
      <c r="N114" s="14" t="s">
        <v>130</v>
      </c>
      <c r="O114" s="14"/>
      <c r="P114" s="12" t="s">
        <v>131</v>
      </c>
      <c r="Q114" s="12" t="s">
        <v>711</v>
      </c>
      <c r="R114" s="12" t="s">
        <v>712</v>
      </c>
    </row>
    <row r="115" customFormat="false" ht="30" hidden="false" customHeight="true" outlineLevel="0" collapsed="false">
      <c r="A115" s="12" t="s">
        <v>127</v>
      </c>
      <c r="B115" s="12" t="s">
        <v>508</v>
      </c>
      <c r="C115" s="12" t="n">
        <v>101</v>
      </c>
      <c r="D115" s="13" t="str">
        <f aca="false">HYPERLINK(BaseURL&amp;"/proposals/project-matador-gas-plant-pmg-xy26wb","Project Matador Gas Plant (PMG)")</f>
        <v>Project Matador Gas Plant (PMG)</v>
      </c>
      <c r="E115" s="12" t="s">
        <v>465</v>
      </c>
      <c r="F115" s="12" t="s">
        <v>86</v>
      </c>
      <c r="G115" s="12" t="s">
        <v>466</v>
      </c>
      <c r="H115" s="12" t="s">
        <v>83</v>
      </c>
      <c r="I115" s="14" t="s">
        <v>458</v>
      </c>
      <c r="J115" s="12" t="s">
        <v>602</v>
      </c>
      <c r="K115" s="12" t="s">
        <v>510</v>
      </c>
      <c r="L115" s="12" t="s">
        <v>471</v>
      </c>
      <c r="M115" s="12" t="s">
        <v>480</v>
      </c>
      <c r="N115" s="14" t="s">
        <v>130</v>
      </c>
      <c r="O115" s="14"/>
      <c r="P115" s="12" t="s">
        <v>131</v>
      </c>
      <c r="Q115" s="12" t="s">
        <v>713</v>
      </c>
      <c r="R115" s="12" t="s">
        <v>714</v>
      </c>
    </row>
    <row r="116" customFormat="false" ht="30" hidden="false" customHeight="true" outlineLevel="0" collapsed="false">
      <c r="A116" s="12" t="s">
        <v>127</v>
      </c>
      <c r="B116" s="12" t="s">
        <v>508</v>
      </c>
      <c r="C116" s="12" t="n">
        <v>102</v>
      </c>
      <c r="D116" s="13" t="str">
        <f aca="false">HYPERLINK(BaseURL&amp;"/proposals/project-matador-gas-plant-pmg-9b1mhr","Project Matador Gas Plant (PMG)")</f>
        <v>Project Matador Gas Plant (PMG)</v>
      </c>
      <c r="E116" s="12" t="s">
        <v>465</v>
      </c>
      <c r="F116" s="12" t="s">
        <v>86</v>
      </c>
      <c r="G116" s="12" t="s">
        <v>466</v>
      </c>
      <c r="H116" s="12" t="s">
        <v>83</v>
      </c>
      <c r="I116" s="14" t="s">
        <v>458</v>
      </c>
      <c r="J116" s="12" t="s">
        <v>602</v>
      </c>
      <c r="K116" s="12" t="s">
        <v>510</v>
      </c>
      <c r="L116" s="12" t="s">
        <v>471</v>
      </c>
      <c r="M116" s="12" t="s">
        <v>480</v>
      </c>
      <c r="N116" s="14" t="s">
        <v>130</v>
      </c>
      <c r="O116" s="14"/>
      <c r="P116" s="12" t="s">
        <v>131</v>
      </c>
      <c r="Q116" s="12" t="s">
        <v>715</v>
      </c>
      <c r="R116" s="12" t="s">
        <v>716</v>
      </c>
    </row>
    <row r="117" customFormat="false" ht="30" hidden="false" customHeight="true" outlineLevel="0" collapsed="false">
      <c r="A117" s="12" t="s">
        <v>127</v>
      </c>
      <c r="B117" s="12" t="s">
        <v>508</v>
      </c>
      <c r="C117" s="12" t="n">
        <v>103</v>
      </c>
      <c r="D117" s="13" t="str">
        <f aca="false">HYPERLINK(BaseURL&amp;"/proposals/project-matador-gas-plant-pmg-4ehes1","Project Matador Gas Plant (PMG)")</f>
        <v>Project Matador Gas Plant (PMG)</v>
      </c>
      <c r="E117" s="12" t="s">
        <v>465</v>
      </c>
      <c r="F117" s="12" t="s">
        <v>86</v>
      </c>
      <c r="G117" s="12" t="s">
        <v>466</v>
      </c>
      <c r="H117" s="12" t="s">
        <v>83</v>
      </c>
      <c r="I117" s="14" t="s">
        <v>458</v>
      </c>
      <c r="J117" s="12" t="s">
        <v>602</v>
      </c>
      <c r="K117" s="12" t="s">
        <v>510</v>
      </c>
      <c r="L117" s="12" t="s">
        <v>471</v>
      </c>
      <c r="M117" s="12" t="s">
        <v>480</v>
      </c>
      <c r="N117" s="14" t="s">
        <v>130</v>
      </c>
      <c r="O117" s="14"/>
      <c r="P117" s="12" t="s">
        <v>131</v>
      </c>
      <c r="Q117" s="12" t="s">
        <v>717</v>
      </c>
      <c r="R117" s="12" t="s">
        <v>718</v>
      </c>
    </row>
    <row r="118" customFormat="false" ht="30" hidden="false" customHeight="true" outlineLevel="0" collapsed="false">
      <c r="A118" s="12" t="s">
        <v>127</v>
      </c>
      <c r="B118" s="12" t="s">
        <v>508</v>
      </c>
      <c r="C118" s="12" t="n">
        <v>104</v>
      </c>
      <c r="D118" s="13" t="str">
        <f aca="false">HYPERLINK(BaseURL&amp;"/proposals/project-matador-gas-plant-pmg-bdk0yk","Project Matador Gas Plant (PMG)")</f>
        <v>Project Matador Gas Plant (PMG)</v>
      </c>
      <c r="E118" s="12" t="s">
        <v>465</v>
      </c>
      <c r="F118" s="12" t="s">
        <v>86</v>
      </c>
      <c r="G118" s="12" t="s">
        <v>466</v>
      </c>
      <c r="H118" s="12" t="s">
        <v>83</v>
      </c>
      <c r="I118" s="14" t="s">
        <v>458</v>
      </c>
      <c r="J118" s="12" t="s">
        <v>602</v>
      </c>
      <c r="K118" s="12" t="s">
        <v>510</v>
      </c>
      <c r="L118" s="12" t="s">
        <v>471</v>
      </c>
      <c r="M118" s="12" t="s">
        <v>480</v>
      </c>
      <c r="N118" s="14" t="s">
        <v>130</v>
      </c>
      <c r="O118" s="14"/>
      <c r="P118" s="12" t="s">
        <v>131</v>
      </c>
      <c r="Q118" s="12" t="s">
        <v>719</v>
      </c>
      <c r="R118" s="12" t="s">
        <v>720</v>
      </c>
    </row>
    <row r="119" customFormat="false" ht="30" hidden="false" customHeight="true" outlineLevel="0" collapsed="false">
      <c r="A119" s="12" t="s">
        <v>127</v>
      </c>
      <c r="B119" s="12" t="s">
        <v>508</v>
      </c>
      <c r="C119" s="12" t="n">
        <v>105</v>
      </c>
      <c r="D119" s="13" t="str">
        <f aca="false">HYPERLINK(BaseURL&amp;"/proposals/project-matador-gas-plant-pmg-6ew609","Project Matador Gas Plant (PMG)")</f>
        <v>Project Matador Gas Plant (PMG)</v>
      </c>
      <c r="E119" s="12" t="s">
        <v>465</v>
      </c>
      <c r="F119" s="12" t="s">
        <v>86</v>
      </c>
      <c r="G119" s="12" t="s">
        <v>466</v>
      </c>
      <c r="H119" s="12" t="s">
        <v>83</v>
      </c>
      <c r="I119" s="14" t="s">
        <v>458</v>
      </c>
      <c r="J119" s="12" t="s">
        <v>602</v>
      </c>
      <c r="K119" s="12" t="s">
        <v>510</v>
      </c>
      <c r="L119" s="12" t="s">
        <v>471</v>
      </c>
      <c r="M119" s="12" t="s">
        <v>480</v>
      </c>
      <c r="N119" s="14" t="s">
        <v>130</v>
      </c>
      <c r="O119" s="14"/>
      <c r="P119" s="12" t="s">
        <v>131</v>
      </c>
      <c r="Q119" s="12" t="s">
        <v>721</v>
      </c>
      <c r="R119" s="12" t="s">
        <v>722</v>
      </c>
    </row>
    <row r="120" customFormat="false" ht="30" hidden="false" customHeight="true" outlineLevel="0" collapsed="false">
      <c r="A120" s="12" t="s">
        <v>127</v>
      </c>
      <c r="B120" s="12" t="s">
        <v>508</v>
      </c>
      <c r="C120" s="12" t="n">
        <v>106</v>
      </c>
      <c r="D120" s="13" t="str">
        <f aca="false">HYPERLINK(BaseURL&amp;"/proposals/project-matador-gas-plant-pmg-wba8jn","Project Matador Gas Plant (PMG)")</f>
        <v>Project Matador Gas Plant (PMG)</v>
      </c>
      <c r="E120" s="12" t="s">
        <v>465</v>
      </c>
      <c r="F120" s="12" t="s">
        <v>86</v>
      </c>
      <c r="G120" s="12" t="s">
        <v>466</v>
      </c>
      <c r="H120" s="12" t="s">
        <v>83</v>
      </c>
      <c r="I120" s="14" t="s">
        <v>458</v>
      </c>
      <c r="J120" s="12" t="s">
        <v>602</v>
      </c>
      <c r="K120" s="12" t="s">
        <v>510</v>
      </c>
      <c r="L120" s="12" t="s">
        <v>471</v>
      </c>
      <c r="M120" s="12" t="s">
        <v>480</v>
      </c>
      <c r="N120" s="14" t="s">
        <v>130</v>
      </c>
      <c r="O120" s="14"/>
      <c r="P120" s="12" t="s">
        <v>131</v>
      </c>
      <c r="Q120" s="12" t="s">
        <v>723</v>
      </c>
      <c r="R120" s="12" t="s">
        <v>724</v>
      </c>
    </row>
    <row r="121" customFormat="false" ht="30" hidden="false" customHeight="true" outlineLevel="0" collapsed="false">
      <c r="A121" s="12" t="s">
        <v>127</v>
      </c>
      <c r="B121" s="12" t="s">
        <v>508</v>
      </c>
      <c r="C121" s="12" t="n">
        <v>107</v>
      </c>
      <c r="D121" s="13" t="str">
        <f aca="false">HYPERLINK(BaseURL&amp;"/proposals/project-matador-gas-plant-pmg-hark8z","Project Matador Gas Plant (PMG)")</f>
        <v>Project Matador Gas Plant (PMG)</v>
      </c>
      <c r="E121" s="12" t="s">
        <v>465</v>
      </c>
      <c r="F121" s="12" t="s">
        <v>86</v>
      </c>
      <c r="G121" s="12" t="s">
        <v>466</v>
      </c>
      <c r="H121" s="12" t="s">
        <v>83</v>
      </c>
      <c r="I121" s="14" t="s">
        <v>458</v>
      </c>
      <c r="J121" s="12" t="s">
        <v>602</v>
      </c>
      <c r="K121" s="12" t="s">
        <v>510</v>
      </c>
      <c r="L121" s="12" t="s">
        <v>471</v>
      </c>
      <c r="M121" s="12" t="s">
        <v>480</v>
      </c>
      <c r="N121" s="14" t="s">
        <v>130</v>
      </c>
      <c r="O121" s="14"/>
      <c r="P121" s="12" t="s">
        <v>131</v>
      </c>
      <c r="Q121" s="12" t="s">
        <v>725</v>
      </c>
      <c r="R121" s="12" t="s">
        <v>726</v>
      </c>
    </row>
    <row r="122" customFormat="false" ht="30" hidden="false" customHeight="true" outlineLevel="0" collapsed="false">
      <c r="A122" s="12" t="s">
        <v>127</v>
      </c>
      <c r="B122" s="12" t="s">
        <v>508</v>
      </c>
      <c r="C122" s="12" t="n">
        <v>108</v>
      </c>
      <c r="D122" s="13" t="str">
        <f aca="false">HYPERLINK(BaseURL&amp;"/proposals/project-matador-gas-plant-pmg-3bdagr","Project Matador Gas Plant (PMG)")</f>
        <v>Project Matador Gas Plant (PMG)</v>
      </c>
      <c r="E122" s="12" t="s">
        <v>465</v>
      </c>
      <c r="F122" s="12" t="s">
        <v>86</v>
      </c>
      <c r="G122" s="12" t="s">
        <v>466</v>
      </c>
      <c r="H122" s="12" t="s">
        <v>83</v>
      </c>
      <c r="I122" s="14" t="s">
        <v>458</v>
      </c>
      <c r="J122" s="12" t="s">
        <v>602</v>
      </c>
      <c r="K122" s="12" t="s">
        <v>510</v>
      </c>
      <c r="L122" s="12" t="s">
        <v>471</v>
      </c>
      <c r="M122" s="12" t="s">
        <v>480</v>
      </c>
      <c r="N122" s="14" t="s">
        <v>130</v>
      </c>
      <c r="O122" s="14"/>
      <c r="P122" s="12" t="s">
        <v>131</v>
      </c>
      <c r="Q122" s="12" t="s">
        <v>727</v>
      </c>
      <c r="R122" s="12" t="s">
        <v>728</v>
      </c>
    </row>
    <row r="123" customFormat="false" ht="30" hidden="false" customHeight="true" outlineLevel="0" collapsed="false">
      <c r="A123" s="12" t="s">
        <v>127</v>
      </c>
      <c r="B123" s="12" t="s">
        <v>508</v>
      </c>
      <c r="C123" s="12" t="n">
        <v>109</v>
      </c>
      <c r="D123" s="13" t="str">
        <f aca="false">HYPERLINK(BaseURL&amp;"/proposals/project-matador-gas-plant-pmg-3161zn","Project Matador Gas Plant (PMG)")</f>
        <v>Project Matador Gas Plant (PMG)</v>
      </c>
      <c r="E123" s="12" t="s">
        <v>465</v>
      </c>
      <c r="F123" s="12" t="s">
        <v>86</v>
      </c>
      <c r="G123" s="12" t="s">
        <v>466</v>
      </c>
      <c r="H123" s="12" t="s">
        <v>83</v>
      </c>
      <c r="I123" s="14" t="s">
        <v>458</v>
      </c>
      <c r="J123" s="12" t="s">
        <v>602</v>
      </c>
      <c r="K123" s="12" t="s">
        <v>510</v>
      </c>
      <c r="L123" s="12" t="s">
        <v>471</v>
      </c>
      <c r="M123" s="12" t="s">
        <v>480</v>
      </c>
      <c r="N123" s="14" t="s">
        <v>130</v>
      </c>
      <c r="O123" s="14"/>
      <c r="P123" s="12" t="s">
        <v>131</v>
      </c>
      <c r="Q123" s="12" t="s">
        <v>729</v>
      </c>
      <c r="R123" s="12" t="s">
        <v>730</v>
      </c>
    </row>
    <row r="124" customFormat="false" ht="30" hidden="false" customHeight="true" outlineLevel="0" collapsed="false">
      <c r="A124" s="12" t="s">
        <v>127</v>
      </c>
      <c r="B124" s="12" t="s">
        <v>508</v>
      </c>
      <c r="C124" s="12" t="n">
        <v>110</v>
      </c>
      <c r="D124" s="13" t="str">
        <f aca="false">HYPERLINK(BaseURL&amp;"/proposals/project-matador-gas-plant-pmg-bp7yh3","Project Matador Gas Plant (PMG)")</f>
        <v>Project Matador Gas Plant (PMG)</v>
      </c>
      <c r="E124" s="12" t="s">
        <v>465</v>
      </c>
      <c r="F124" s="12" t="s">
        <v>86</v>
      </c>
      <c r="G124" s="12" t="s">
        <v>466</v>
      </c>
      <c r="H124" s="12" t="s">
        <v>83</v>
      </c>
      <c r="I124" s="14" t="s">
        <v>458</v>
      </c>
      <c r="J124" s="12" t="s">
        <v>602</v>
      </c>
      <c r="K124" s="12" t="s">
        <v>510</v>
      </c>
      <c r="L124" s="12" t="s">
        <v>471</v>
      </c>
      <c r="M124" s="12" t="s">
        <v>480</v>
      </c>
      <c r="N124" s="14" t="s">
        <v>130</v>
      </c>
      <c r="O124" s="14"/>
      <c r="P124" s="12" t="s">
        <v>131</v>
      </c>
      <c r="Q124" s="12" t="s">
        <v>731</v>
      </c>
      <c r="R124" s="12" t="s">
        <v>732</v>
      </c>
    </row>
    <row r="125" customFormat="false" ht="30" hidden="false" customHeight="true" outlineLevel="0" collapsed="false">
      <c r="A125" s="12" t="s">
        <v>127</v>
      </c>
      <c r="B125" s="12" t="s">
        <v>508</v>
      </c>
      <c r="C125" s="12" t="n">
        <v>111</v>
      </c>
      <c r="D125" s="13" t="str">
        <f aca="false">HYPERLINK(BaseURL&amp;"/proposals/project-matador-gas-plant-pmg-d5jwf9","Project Matador Gas Plant (PMG)")</f>
        <v>Project Matador Gas Plant (PMG)</v>
      </c>
      <c r="E125" s="12" t="s">
        <v>465</v>
      </c>
      <c r="F125" s="12" t="s">
        <v>86</v>
      </c>
      <c r="G125" s="12" t="s">
        <v>466</v>
      </c>
      <c r="H125" s="12" t="s">
        <v>83</v>
      </c>
      <c r="I125" s="14" t="s">
        <v>458</v>
      </c>
      <c r="J125" s="12" t="s">
        <v>602</v>
      </c>
      <c r="K125" s="12" t="s">
        <v>510</v>
      </c>
      <c r="L125" s="12" t="s">
        <v>471</v>
      </c>
      <c r="M125" s="12" t="s">
        <v>480</v>
      </c>
      <c r="N125" s="14" t="s">
        <v>130</v>
      </c>
      <c r="O125" s="14"/>
      <c r="P125" s="12" t="s">
        <v>131</v>
      </c>
      <c r="Q125" s="12" t="s">
        <v>733</v>
      </c>
      <c r="R125" s="12" t="s">
        <v>734</v>
      </c>
    </row>
    <row r="126" customFormat="false" ht="30" hidden="false" customHeight="true" outlineLevel="0" collapsed="false">
      <c r="A126" s="12" t="s">
        <v>127</v>
      </c>
      <c r="B126" s="12" t="s">
        <v>508</v>
      </c>
      <c r="C126" s="12" t="n">
        <v>112</v>
      </c>
      <c r="D126" s="13" t="str">
        <f aca="false">HYPERLINK(BaseURL&amp;"/proposals/project-matador-gas-plant-pmg-4sw40z","Project Matador Gas Plant (PMG)")</f>
        <v>Project Matador Gas Plant (PMG)</v>
      </c>
      <c r="E126" s="12" t="s">
        <v>465</v>
      </c>
      <c r="F126" s="12" t="s">
        <v>86</v>
      </c>
      <c r="G126" s="12" t="s">
        <v>466</v>
      </c>
      <c r="H126" s="12" t="s">
        <v>83</v>
      </c>
      <c r="I126" s="14" t="s">
        <v>458</v>
      </c>
      <c r="J126" s="12" t="s">
        <v>602</v>
      </c>
      <c r="K126" s="12" t="s">
        <v>510</v>
      </c>
      <c r="L126" s="12" t="s">
        <v>471</v>
      </c>
      <c r="M126" s="12" t="s">
        <v>480</v>
      </c>
      <c r="N126" s="14" t="s">
        <v>130</v>
      </c>
      <c r="O126" s="14"/>
      <c r="P126" s="12" t="s">
        <v>131</v>
      </c>
      <c r="Q126" s="12" t="s">
        <v>735</v>
      </c>
      <c r="R126" s="12" t="s">
        <v>736</v>
      </c>
    </row>
    <row r="127" customFormat="false" ht="30" hidden="false" customHeight="true" outlineLevel="0" collapsed="false">
      <c r="A127" s="12" t="s">
        <v>127</v>
      </c>
      <c r="B127" s="12" t="s">
        <v>508</v>
      </c>
      <c r="C127" s="12" t="n">
        <v>113</v>
      </c>
      <c r="D127" s="13" t="str">
        <f aca="false">HYPERLINK(BaseURL&amp;"/proposals/project-matador-gas-plant-pmg-w3xgap","Project Matador Gas Plant (PMG)")</f>
        <v>Project Matador Gas Plant (PMG)</v>
      </c>
      <c r="E127" s="12" t="s">
        <v>465</v>
      </c>
      <c r="F127" s="12" t="s">
        <v>86</v>
      </c>
      <c r="G127" s="12" t="s">
        <v>466</v>
      </c>
      <c r="H127" s="12" t="s">
        <v>83</v>
      </c>
      <c r="I127" s="14" t="s">
        <v>458</v>
      </c>
      <c r="J127" s="12" t="s">
        <v>602</v>
      </c>
      <c r="K127" s="12" t="s">
        <v>510</v>
      </c>
      <c r="L127" s="12" t="s">
        <v>471</v>
      </c>
      <c r="M127" s="12" t="s">
        <v>480</v>
      </c>
      <c r="N127" s="14" t="s">
        <v>130</v>
      </c>
      <c r="O127" s="14"/>
      <c r="P127" s="12" t="s">
        <v>131</v>
      </c>
      <c r="Q127" s="12" t="s">
        <v>737</v>
      </c>
      <c r="R127" s="12" t="s">
        <v>738</v>
      </c>
    </row>
    <row r="128" customFormat="false" ht="30" hidden="false" customHeight="true" outlineLevel="0" collapsed="false">
      <c r="A128" s="12" t="s">
        <v>127</v>
      </c>
      <c r="B128" s="12" t="s">
        <v>508</v>
      </c>
      <c r="C128" s="12" t="n">
        <v>114</v>
      </c>
      <c r="D128" s="13" t="str">
        <f aca="false">HYPERLINK(BaseURL&amp;"/proposals/project-matador-gas-plant-pmg-9hmxsf","Project Matador Gas Plant (PMG)")</f>
        <v>Project Matador Gas Plant (PMG)</v>
      </c>
      <c r="E128" s="12" t="s">
        <v>465</v>
      </c>
      <c r="F128" s="12" t="s">
        <v>86</v>
      </c>
      <c r="G128" s="12" t="s">
        <v>466</v>
      </c>
      <c r="H128" s="12" t="s">
        <v>83</v>
      </c>
      <c r="I128" s="14" t="s">
        <v>458</v>
      </c>
      <c r="J128" s="12" t="s">
        <v>602</v>
      </c>
      <c r="K128" s="12" t="s">
        <v>510</v>
      </c>
      <c r="L128" s="12" t="s">
        <v>471</v>
      </c>
      <c r="M128" s="12" t="s">
        <v>480</v>
      </c>
      <c r="N128" s="14" t="s">
        <v>130</v>
      </c>
      <c r="O128" s="14"/>
      <c r="P128" s="12" t="s">
        <v>131</v>
      </c>
      <c r="Q128" s="12" t="s">
        <v>739</v>
      </c>
      <c r="R128" s="12" t="s">
        <v>740</v>
      </c>
    </row>
    <row r="129" customFormat="false" ht="30" hidden="false" customHeight="true" outlineLevel="0" collapsed="false">
      <c r="A129" s="12" t="s">
        <v>127</v>
      </c>
      <c r="B129" s="12" t="s">
        <v>508</v>
      </c>
      <c r="C129" s="12" t="n">
        <v>115</v>
      </c>
      <c r="D129" s="13" t="str">
        <f aca="false">HYPERLINK(BaseURL&amp;"/proposals/project-matador-gas-plant-pmg-6jbzmf","Project Matador Gas Plant (PMG)")</f>
        <v>Project Matador Gas Plant (PMG)</v>
      </c>
      <c r="E129" s="12" t="s">
        <v>465</v>
      </c>
      <c r="F129" s="12" t="s">
        <v>86</v>
      </c>
      <c r="G129" s="12" t="s">
        <v>466</v>
      </c>
      <c r="H129" s="12" t="s">
        <v>83</v>
      </c>
      <c r="I129" s="14" t="s">
        <v>458</v>
      </c>
      <c r="J129" s="12" t="s">
        <v>602</v>
      </c>
      <c r="K129" s="12" t="s">
        <v>510</v>
      </c>
      <c r="L129" s="12" t="s">
        <v>471</v>
      </c>
      <c r="M129" s="12" t="s">
        <v>480</v>
      </c>
      <c r="N129" s="14" t="s">
        <v>130</v>
      </c>
      <c r="O129" s="14"/>
      <c r="P129" s="12" t="s">
        <v>131</v>
      </c>
      <c r="Q129" s="12" t="s">
        <v>741</v>
      </c>
      <c r="R129" s="12" t="s">
        <v>742</v>
      </c>
    </row>
    <row r="130" customFormat="false" ht="30" hidden="false" customHeight="true" outlineLevel="0" collapsed="false">
      <c r="A130" s="12" t="s">
        <v>127</v>
      </c>
      <c r="B130" s="12" t="s">
        <v>508</v>
      </c>
      <c r="C130" s="12" t="n">
        <v>116</v>
      </c>
      <c r="D130" s="13" t="str">
        <f aca="false">HYPERLINK(BaseURL&amp;"/proposals/project-matador-gas-plant-pmg-trveh0","Project Matador Gas Plant (PMG)")</f>
        <v>Project Matador Gas Plant (PMG)</v>
      </c>
      <c r="E130" s="12" t="s">
        <v>465</v>
      </c>
      <c r="F130" s="12" t="s">
        <v>86</v>
      </c>
      <c r="G130" s="12" t="s">
        <v>466</v>
      </c>
      <c r="H130" s="12" t="s">
        <v>83</v>
      </c>
      <c r="I130" s="14" t="s">
        <v>458</v>
      </c>
      <c r="J130" s="12" t="s">
        <v>602</v>
      </c>
      <c r="K130" s="12" t="s">
        <v>510</v>
      </c>
      <c r="L130" s="12" t="s">
        <v>471</v>
      </c>
      <c r="M130" s="12" t="s">
        <v>480</v>
      </c>
      <c r="N130" s="14" t="s">
        <v>130</v>
      </c>
      <c r="O130" s="14"/>
      <c r="P130" s="12" t="s">
        <v>131</v>
      </c>
      <c r="Q130" s="12" t="s">
        <v>743</v>
      </c>
      <c r="R130" s="12" t="s">
        <v>744</v>
      </c>
    </row>
    <row r="131" customFormat="false" ht="30" hidden="false" customHeight="true" outlineLevel="0" collapsed="false">
      <c r="A131" s="12" t="s">
        <v>127</v>
      </c>
      <c r="B131" s="12" t="s">
        <v>508</v>
      </c>
      <c r="C131" s="12" t="n">
        <v>117</v>
      </c>
      <c r="D131" s="13" t="str">
        <f aca="false">HYPERLINK(BaseURL&amp;"/proposals/project-matador-gas-plant-pmg-rbg2e0","Project Matador Gas Plant (PMG)")</f>
        <v>Project Matador Gas Plant (PMG)</v>
      </c>
      <c r="E131" s="12" t="s">
        <v>465</v>
      </c>
      <c r="F131" s="12" t="s">
        <v>86</v>
      </c>
      <c r="G131" s="12" t="s">
        <v>466</v>
      </c>
      <c r="H131" s="12" t="s">
        <v>83</v>
      </c>
      <c r="I131" s="14" t="s">
        <v>458</v>
      </c>
      <c r="J131" s="12" t="s">
        <v>602</v>
      </c>
      <c r="K131" s="12" t="s">
        <v>510</v>
      </c>
      <c r="L131" s="12" t="s">
        <v>471</v>
      </c>
      <c r="M131" s="12" t="s">
        <v>480</v>
      </c>
      <c r="N131" s="14" t="s">
        <v>130</v>
      </c>
      <c r="O131" s="14"/>
      <c r="P131" s="12" t="s">
        <v>131</v>
      </c>
      <c r="Q131" s="12" t="s">
        <v>745</v>
      </c>
      <c r="R131" s="12" t="s">
        <v>746</v>
      </c>
    </row>
    <row r="132" customFormat="false" ht="30" hidden="false" customHeight="true" outlineLevel="0" collapsed="false">
      <c r="A132" s="12" t="s">
        <v>127</v>
      </c>
      <c r="B132" s="12" t="s">
        <v>508</v>
      </c>
      <c r="C132" s="12" t="n">
        <v>118</v>
      </c>
      <c r="D132" s="13" t="str">
        <f aca="false">HYPERLINK(BaseURL&amp;"/proposals/project-matador-gas-plant-pmg-dm7pkt","Project Matador Gas Plant (PMG)")</f>
        <v>Project Matador Gas Plant (PMG)</v>
      </c>
      <c r="E132" s="12" t="s">
        <v>465</v>
      </c>
      <c r="F132" s="12" t="s">
        <v>86</v>
      </c>
      <c r="G132" s="12" t="s">
        <v>466</v>
      </c>
      <c r="H132" s="12" t="s">
        <v>83</v>
      </c>
      <c r="I132" s="14" t="s">
        <v>458</v>
      </c>
      <c r="J132" s="12" t="s">
        <v>602</v>
      </c>
      <c r="K132" s="12" t="s">
        <v>510</v>
      </c>
      <c r="L132" s="12" t="s">
        <v>471</v>
      </c>
      <c r="M132" s="12" t="s">
        <v>480</v>
      </c>
      <c r="N132" s="14" t="s">
        <v>130</v>
      </c>
      <c r="O132" s="14"/>
      <c r="P132" s="12" t="s">
        <v>131</v>
      </c>
      <c r="Q132" s="12" t="s">
        <v>747</v>
      </c>
      <c r="R132" s="12" t="s">
        <v>748</v>
      </c>
    </row>
    <row r="133" customFormat="false" ht="30" hidden="false" customHeight="true" outlineLevel="0" collapsed="false">
      <c r="A133" s="12" t="s">
        <v>127</v>
      </c>
      <c r="B133" s="12" t="s">
        <v>508</v>
      </c>
      <c r="C133" s="12" t="n">
        <v>119</v>
      </c>
      <c r="D133" s="13" t="str">
        <f aca="false">HYPERLINK(BaseURL&amp;"/proposals/project-matador-gas-plant-pmg-n6g659","Project Matador Gas Plant (PMG)")</f>
        <v>Project Matador Gas Plant (PMG)</v>
      </c>
      <c r="E133" s="12" t="s">
        <v>465</v>
      </c>
      <c r="F133" s="12" t="s">
        <v>86</v>
      </c>
      <c r="G133" s="12" t="s">
        <v>466</v>
      </c>
      <c r="H133" s="12" t="s">
        <v>83</v>
      </c>
      <c r="I133" s="14" t="s">
        <v>458</v>
      </c>
      <c r="J133" s="12" t="s">
        <v>602</v>
      </c>
      <c r="K133" s="12" t="s">
        <v>510</v>
      </c>
      <c r="L133" s="12" t="s">
        <v>471</v>
      </c>
      <c r="M133" s="12" t="s">
        <v>480</v>
      </c>
      <c r="N133" s="14" t="s">
        <v>130</v>
      </c>
      <c r="O133" s="14"/>
      <c r="P133" s="12" t="s">
        <v>131</v>
      </c>
      <c r="Q133" s="12" t="s">
        <v>749</v>
      </c>
      <c r="R133" s="12" t="s">
        <v>750</v>
      </c>
    </row>
    <row r="134" customFormat="false" ht="30" hidden="false" customHeight="true" outlineLevel="0" collapsed="false">
      <c r="A134" s="12" t="s">
        <v>127</v>
      </c>
      <c r="B134" s="12" t="s">
        <v>508</v>
      </c>
      <c r="C134" s="12" t="n">
        <v>120</v>
      </c>
      <c r="D134" s="13" t="str">
        <f aca="false">HYPERLINK(BaseURL&amp;"/proposals/project-matador-gas-plant-pmg-vh3f35","Project Matador Gas Plant (PMG)")</f>
        <v>Project Matador Gas Plant (PMG)</v>
      </c>
      <c r="E134" s="12" t="s">
        <v>465</v>
      </c>
      <c r="F134" s="12" t="s">
        <v>86</v>
      </c>
      <c r="G134" s="12" t="s">
        <v>466</v>
      </c>
      <c r="H134" s="12" t="s">
        <v>83</v>
      </c>
      <c r="I134" s="14" t="s">
        <v>458</v>
      </c>
      <c r="J134" s="12" t="s">
        <v>602</v>
      </c>
      <c r="K134" s="12" t="s">
        <v>510</v>
      </c>
      <c r="L134" s="12" t="s">
        <v>471</v>
      </c>
      <c r="M134" s="12" t="s">
        <v>480</v>
      </c>
      <c r="N134" s="14" t="s">
        <v>130</v>
      </c>
      <c r="O134" s="14"/>
      <c r="P134" s="12" t="s">
        <v>131</v>
      </c>
      <c r="Q134" s="12" t="s">
        <v>751</v>
      </c>
      <c r="R134" s="12" t="s">
        <v>752</v>
      </c>
    </row>
    <row r="135" customFormat="false" ht="30" hidden="false" customHeight="true" outlineLevel="0" collapsed="false">
      <c r="A135" s="12" t="s">
        <v>127</v>
      </c>
      <c r="B135" s="12" t="s">
        <v>508</v>
      </c>
      <c r="C135" s="12" t="n">
        <v>121</v>
      </c>
      <c r="D135" s="13" t="str">
        <f aca="false">HYPERLINK(BaseURL&amp;"/proposals/project-matador-gas-plant-pmg-w7yb0y","Project Matador Gas Plant (PMG)")</f>
        <v>Project Matador Gas Plant (PMG)</v>
      </c>
      <c r="E135" s="12" t="s">
        <v>465</v>
      </c>
      <c r="F135" s="12" t="s">
        <v>86</v>
      </c>
      <c r="G135" s="12" t="s">
        <v>466</v>
      </c>
      <c r="H135" s="12" t="s">
        <v>83</v>
      </c>
      <c r="I135" s="14" t="s">
        <v>458</v>
      </c>
      <c r="J135" s="12" t="s">
        <v>602</v>
      </c>
      <c r="K135" s="12" t="s">
        <v>510</v>
      </c>
      <c r="L135" s="12" t="s">
        <v>471</v>
      </c>
      <c r="M135" s="12" t="s">
        <v>480</v>
      </c>
      <c r="N135" s="14" t="s">
        <v>130</v>
      </c>
      <c r="O135" s="14"/>
      <c r="P135" s="12" t="s">
        <v>131</v>
      </c>
      <c r="Q135" s="12" t="s">
        <v>753</v>
      </c>
      <c r="R135" s="12" t="s">
        <v>754</v>
      </c>
    </row>
    <row r="136" customFormat="false" ht="30" hidden="false" customHeight="true" outlineLevel="0" collapsed="false">
      <c r="A136" s="12" t="s">
        <v>127</v>
      </c>
      <c r="B136" s="12" t="s">
        <v>508</v>
      </c>
      <c r="C136" s="12" t="n">
        <v>122</v>
      </c>
      <c r="D136" s="13" t="str">
        <f aca="false">HYPERLINK(BaseURL&amp;"/proposals/project-matador-gas-plant-pmg-7h3xng","Project Matador Gas Plant (PMG)")</f>
        <v>Project Matador Gas Plant (PMG)</v>
      </c>
      <c r="E136" s="12" t="s">
        <v>465</v>
      </c>
      <c r="F136" s="12" t="s">
        <v>86</v>
      </c>
      <c r="G136" s="12" t="s">
        <v>466</v>
      </c>
      <c r="H136" s="12" t="s">
        <v>83</v>
      </c>
      <c r="I136" s="14" t="s">
        <v>458</v>
      </c>
      <c r="J136" s="12" t="s">
        <v>602</v>
      </c>
      <c r="K136" s="12" t="s">
        <v>510</v>
      </c>
      <c r="L136" s="12" t="s">
        <v>471</v>
      </c>
      <c r="M136" s="12" t="s">
        <v>480</v>
      </c>
      <c r="N136" s="14" t="s">
        <v>130</v>
      </c>
      <c r="O136" s="14"/>
      <c r="P136" s="12" t="s">
        <v>131</v>
      </c>
      <c r="Q136" s="12" t="s">
        <v>755</v>
      </c>
      <c r="R136" s="12" t="s">
        <v>756</v>
      </c>
    </row>
    <row r="137" customFormat="false" ht="30" hidden="false" customHeight="true" outlineLevel="0" collapsed="false">
      <c r="A137" s="12" t="s">
        <v>127</v>
      </c>
      <c r="B137" s="12" t="s">
        <v>508</v>
      </c>
      <c r="C137" s="12" t="n">
        <v>123</v>
      </c>
      <c r="D137" s="13" t="str">
        <f aca="false">HYPERLINK(BaseURL&amp;"/proposals/project-matador-gas-plant-pmg-1zdjs3","Project Matador Gas Plant (PMG)")</f>
        <v>Project Matador Gas Plant (PMG)</v>
      </c>
      <c r="E137" s="12" t="s">
        <v>465</v>
      </c>
      <c r="F137" s="12" t="s">
        <v>86</v>
      </c>
      <c r="G137" s="12" t="s">
        <v>466</v>
      </c>
      <c r="H137" s="12" t="s">
        <v>83</v>
      </c>
      <c r="I137" s="14" t="s">
        <v>458</v>
      </c>
      <c r="J137" s="12" t="s">
        <v>602</v>
      </c>
      <c r="K137" s="12" t="s">
        <v>510</v>
      </c>
      <c r="L137" s="12" t="s">
        <v>471</v>
      </c>
      <c r="M137" s="12" t="s">
        <v>480</v>
      </c>
      <c r="N137" s="14" t="s">
        <v>130</v>
      </c>
      <c r="O137" s="14"/>
      <c r="P137" s="12" t="s">
        <v>131</v>
      </c>
      <c r="Q137" s="12" t="s">
        <v>757</v>
      </c>
      <c r="R137" s="12" t="s">
        <v>758</v>
      </c>
    </row>
    <row r="138" customFormat="false" ht="30" hidden="false" customHeight="true" outlineLevel="0" collapsed="false">
      <c r="A138" s="12" t="s">
        <v>127</v>
      </c>
      <c r="B138" s="12" t="s">
        <v>508</v>
      </c>
      <c r="C138" s="12" t="n">
        <v>124</v>
      </c>
      <c r="D138" s="13" t="str">
        <f aca="false">HYPERLINK(BaseURL&amp;"/proposals/project-matador-gas-plant-pmg-rx8vze","Project Matador Gas Plant (PMG)")</f>
        <v>Project Matador Gas Plant (PMG)</v>
      </c>
      <c r="E138" s="12" t="s">
        <v>465</v>
      </c>
      <c r="F138" s="12" t="s">
        <v>86</v>
      </c>
      <c r="G138" s="12" t="s">
        <v>466</v>
      </c>
      <c r="H138" s="12" t="s">
        <v>83</v>
      </c>
      <c r="I138" s="14" t="s">
        <v>458</v>
      </c>
      <c r="J138" s="12" t="s">
        <v>602</v>
      </c>
      <c r="K138" s="12" t="s">
        <v>510</v>
      </c>
      <c r="L138" s="12" t="s">
        <v>471</v>
      </c>
      <c r="M138" s="12" t="s">
        <v>480</v>
      </c>
      <c r="N138" s="14" t="s">
        <v>130</v>
      </c>
      <c r="O138" s="14"/>
      <c r="P138" s="12" t="s">
        <v>131</v>
      </c>
      <c r="Q138" s="12" t="s">
        <v>759</v>
      </c>
      <c r="R138" s="12" t="s">
        <v>760</v>
      </c>
    </row>
    <row r="139" customFormat="false" ht="30" hidden="false" customHeight="true" outlineLevel="0" collapsed="false">
      <c r="A139" s="12" t="s">
        <v>127</v>
      </c>
      <c r="B139" s="12" t="s">
        <v>508</v>
      </c>
      <c r="C139" s="12" t="n">
        <v>125</v>
      </c>
      <c r="D139" s="13" t="str">
        <f aca="false">HYPERLINK(BaseURL&amp;"/proposals/project-matador-gas-plant-pmg-0w2eg2","Project Matador Gas Plant (PMG)")</f>
        <v>Project Matador Gas Plant (PMG)</v>
      </c>
      <c r="E139" s="12" t="s">
        <v>465</v>
      </c>
      <c r="F139" s="12" t="s">
        <v>86</v>
      </c>
      <c r="G139" s="12" t="s">
        <v>466</v>
      </c>
      <c r="H139" s="12" t="s">
        <v>83</v>
      </c>
      <c r="I139" s="14" t="s">
        <v>458</v>
      </c>
      <c r="J139" s="12" t="s">
        <v>602</v>
      </c>
      <c r="K139" s="12" t="s">
        <v>510</v>
      </c>
      <c r="L139" s="12" t="s">
        <v>471</v>
      </c>
      <c r="M139" s="12" t="s">
        <v>480</v>
      </c>
      <c r="N139" s="14" t="s">
        <v>130</v>
      </c>
      <c r="O139" s="14"/>
      <c r="P139" s="12" t="s">
        <v>131</v>
      </c>
      <c r="Q139" s="12" t="s">
        <v>761</v>
      </c>
      <c r="R139" s="12" t="s">
        <v>762</v>
      </c>
    </row>
    <row r="140" customFormat="false" ht="30" hidden="false" customHeight="true" outlineLevel="0" collapsed="false">
      <c r="A140" s="12" t="s">
        <v>127</v>
      </c>
      <c r="B140" s="12" t="s">
        <v>508</v>
      </c>
      <c r="C140" s="12" t="n">
        <v>126</v>
      </c>
      <c r="D140" s="13" t="str">
        <f aca="false">HYPERLINK(BaseURL&amp;"/proposals/project-matador-gas-plant-pmg-058f81","Project Matador Gas Plant (PMG)")</f>
        <v>Project Matador Gas Plant (PMG)</v>
      </c>
      <c r="E140" s="12" t="s">
        <v>465</v>
      </c>
      <c r="F140" s="12" t="s">
        <v>86</v>
      </c>
      <c r="G140" s="12" t="s">
        <v>466</v>
      </c>
      <c r="H140" s="12" t="s">
        <v>83</v>
      </c>
      <c r="I140" s="14" t="s">
        <v>458</v>
      </c>
      <c r="J140" s="12" t="s">
        <v>602</v>
      </c>
      <c r="K140" s="12" t="s">
        <v>510</v>
      </c>
      <c r="L140" s="12" t="s">
        <v>471</v>
      </c>
      <c r="M140" s="12" t="s">
        <v>480</v>
      </c>
      <c r="N140" s="14" t="s">
        <v>130</v>
      </c>
      <c r="O140" s="14"/>
      <c r="P140" s="12" t="s">
        <v>131</v>
      </c>
      <c r="Q140" s="12" t="s">
        <v>763</v>
      </c>
      <c r="R140" s="12" t="s">
        <v>764</v>
      </c>
    </row>
    <row r="141" customFormat="false" ht="30" hidden="false" customHeight="true" outlineLevel="0" collapsed="false">
      <c r="A141" s="12" t="s">
        <v>127</v>
      </c>
      <c r="B141" s="12" t="s">
        <v>508</v>
      </c>
      <c r="C141" s="12" t="n">
        <v>127</v>
      </c>
      <c r="D141" s="13" t="str">
        <f aca="false">HYPERLINK(BaseURL&amp;"/proposals/project-matador-gas-plant-pmg-m6mbc1","Project Matador Gas Plant (PMG)")</f>
        <v>Project Matador Gas Plant (PMG)</v>
      </c>
      <c r="E141" s="12" t="s">
        <v>465</v>
      </c>
      <c r="F141" s="12" t="s">
        <v>86</v>
      </c>
      <c r="G141" s="12" t="s">
        <v>466</v>
      </c>
      <c r="H141" s="12" t="s">
        <v>83</v>
      </c>
      <c r="I141" s="14" t="s">
        <v>458</v>
      </c>
      <c r="J141" s="12" t="s">
        <v>602</v>
      </c>
      <c r="K141" s="12" t="s">
        <v>510</v>
      </c>
      <c r="L141" s="12" t="s">
        <v>471</v>
      </c>
      <c r="M141" s="12" t="s">
        <v>480</v>
      </c>
      <c r="N141" s="14" t="s">
        <v>130</v>
      </c>
      <c r="O141" s="14"/>
      <c r="P141" s="12" t="s">
        <v>131</v>
      </c>
      <c r="Q141" s="12" t="s">
        <v>765</v>
      </c>
      <c r="R141" s="12" t="s">
        <v>766</v>
      </c>
    </row>
    <row r="142" customFormat="false" ht="30" hidden="false" customHeight="true" outlineLevel="0" collapsed="false">
      <c r="A142" s="12" t="s">
        <v>127</v>
      </c>
      <c r="B142" s="12" t="s">
        <v>508</v>
      </c>
      <c r="C142" s="12" t="n">
        <v>128</v>
      </c>
      <c r="D142" s="13" t="str">
        <f aca="false">HYPERLINK(BaseURL&amp;"/proposals/project-matador-gas-plant-pmg-38jwyj","Project Matador Gas Plant (PMG)")</f>
        <v>Project Matador Gas Plant (PMG)</v>
      </c>
      <c r="E142" s="12" t="s">
        <v>465</v>
      </c>
      <c r="F142" s="12" t="s">
        <v>86</v>
      </c>
      <c r="G142" s="12" t="s">
        <v>466</v>
      </c>
      <c r="H142" s="12" t="s">
        <v>83</v>
      </c>
      <c r="I142" s="14" t="s">
        <v>458</v>
      </c>
      <c r="J142" s="12" t="s">
        <v>602</v>
      </c>
      <c r="K142" s="12" t="s">
        <v>510</v>
      </c>
      <c r="L142" s="12" t="s">
        <v>471</v>
      </c>
      <c r="M142" s="12" t="s">
        <v>480</v>
      </c>
      <c r="N142" s="14" t="s">
        <v>130</v>
      </c>
      <c r="O142" s="14"/>
      <c r="P142" s="12" t="s">
        <v>131</v>
      </c>
      <c r="Q142" s="12" t="s">
        <v>767</v>
      </c>
      <c r="R142" s="12" t="s">
        <v>768</v>
      </c>
    </row>
    <row r="143" customFormat="false" ht="30" hidden="false" customHeight="true" outlineLevel="0" collapsed="false">
      <c r="A143" s="12" t="s">
        <v>127</v>
      </c>
      <c r="B143" s="12" t="s">
        <v>508</v>
      </c>
      <c r="C143" s="12" t="n">
        <v>129</v>
      </c>
      <c r="D143" s="13" t="str">
        <f aca="false">HYPERLINK(BaseURL&amp;"/proposals/project-matador-gas-plant-pmg-nky3ex","Project Matador Gas Plant (PMG)")</f>
        <v>Project Matador Gas Plant (PMG)</v>
      </c>
      <c r="E143" s="12" t="s">
        <v>465</v>
      </c>
      <c r="F143" s="12" t="s">
        <v>86</v>
      </c>
      <c r="G143" s="12" t="s">
        <v>466</v>
      </c>
      <c r="H143" s="12" t="s">
        <v>83</v>
      </c>
      <c r="I143" s="14" t="s">
        <v>458</v>
      </c>
      <c r="J143" s="12" t="s">
        <v>602</v>
      </c>
      <c r="K143" s="12" t="s">
        <v>510</v>
      </c>
      <c r="L143" s="12" t="s">
        <v>471</v>
      </c>
      <c r="M143" s="12" t="s">
        <v>480</v>
      </c>
      <c r="N143" s="14" t="s">
        <v>130</v>
      </c>
      <c r="O143" s="14"/>
      <c r="P143" s="12" t="s">
        <v>131</v>
      </c>
      <c r="Q143" s="12" t="s">
        <v>769</v>
      </c>
      <c r="R143" s="12" t="s">
        <v>770</v>
      </c>
    </row>
    <row r="144" customFormat="false" ht="30" hidden="false" customHeight="true" outlineLevel="0" collapsed="false">
      <c r="A144" s="12" t="s">
        <v>127</v>
      </c>
      <c r="B144" s="12" t="s">
        <v>508</v>
      </c>
      <c r="C144" s="12" t="n">
        <v>130</v>
      </c>
      <c r="D144" s="13" t="str">
        <f aca="false">HYPERLINK(BaseURL&amp;"/proposals/project-matador-gas-plant-pmg-459nbh","Project Matador Gas Plant (PMG)")</f>
        <v>Project Matador Gas Plant (PMG)</v>
      </c>
      <c r="E144" s="12" t="s">
        <v>465</v>
      </c>
      <c r="F144" s="12" t="s">
        <v>86</v>
      </c>
      <c r="G144" s="12" t="s">
        <v>466</v>
      </c>
      <c r="H144" s="12" t="s">
        <v>83</v>
      </c>
      <c r="I144" s="14" t="s">
        <v>458</v>
      </c>
      <c r="J144" s="12" t="s">
        <v>602</v>
      </c>
      <c r="K144" s="12" t="s">
        <v>510</v>
      </c>
      <c r="L144" s="12" t="s">
        <v>471</v>
      </c>
      <c r="M144" s="12" t="s">
        <v>480</v>
      </c>
      <c r="N144" s="14" t="s">
        <v>130</v>
      </c>
      <c r="O144" s="14"/>
      <c r="P144" s="12" t="s">
        <v>131</v>
      </c>
      <c r="Q144" s="12" t="s">
        <v>771</v>
      </c>
      <c r="R144" s="12" t="s">
        <v>772</v>
      </c>
    </row>
    <row r="145" customFormat="false" ht="30" hidden="false" customHeight="true" outlineLevel="0" collapsed="false">
      <c r="A145" s="12" t="s">
        <v>127</v>
      </c>
      <c r="B145" s="12" t="s">
        <v>508</v>
      </c>
      <c r="C145" s="12" t="n">
        <v>131</v>
      </c>
      <c r="D145" s="13" t="str">
        <f aca="false">HYPERLINK(BaseURL&amp;"/proposals/project-matador-gas-plant-pmg-nn4hnk","Project Matador Gas Plant (PMG)")</f>
        <v>Project Matador Gas Plant (PMG)</v>
      </c>
      <c r="E145" s="12" t="s">
        <v>465</v>
      </c>
      <c r="F145" s="12" t="s">
        <v>86</v>
      </c>
      <c r="G145" s="12" t="s">
        <v>466</v>
      </c>
      <c r="H145" s="12" t="s">
        <v>83</v>
      </c>
      <c r="I145" s="14" t="s">
        <v>458</v>
      </c>
      <c r="J145" s="12" t="s">
        <v>602</v>
      </c>
      <c r="K145" s="12" t="s">
        <v>510</v>
      </c>
      <c r="L145" s="12" t="s">
        <v>471</v>
      </c>
      <c r="M145" s="12" t="s">
        <v>480</v>
      </c>
      <c r="N145" s="14" t="s">
        <v>130</v>
      </c>
      <c r="O145" s="14"/>
      <c r="P145" s="12" t="s">
        <v>131</v>
      </c>
      <c r="Q145" s="12" t="s">
        <v>773</v>
      </c>
      <c r="R145" s="12" t="s">
        <v>774</v>
      </c>
    </row>
    <row r="146" customFormat="false" ht="30" hidden="false" customHeight="true" outlineLevel="0" collapsed="false">
      <c r="A146" s="12" t="s">
        <v>127</v>
      </c>
      <c r="B146" s="12" t="s">
        <v>508</v>
      </c>
      <c r="C146" s="12" t="n">
        <v>132</v>
      </c>
      <c r="D146" s="13" t="str">
        <f aca="false">HYPERLINK(BaseURL&amp;"/proposals/project-matador-gas-plant-pmg-bhbjjh","Project Matador Gas Plant (PMG)")</f>
        <v>Project Matador Gas Plant (PMG)</v>
      </c>
      <c r="E146" s="12" t="s">
        <v>465</v>
      </c>
      <c r="F146" s="12" t="s">
        <v>86</v>
      </c>
      <c r="G146" s="12" t="s">
        <v>466</v>
      </c>
      <c r="H146" s="12" t="s">
        <v>83</v>
      </c>
      <c r="I146" s="14" t="s">
        <v>458</v>
      </c>
      <c r="J146" s="12" t="s">
        <v>602</v>
      </c>
      <c r="K146" s="12" t="s">
        <v>510</v>
      </c>
      <c r="L146" s="12" t="s">
        <v>471</v>
      </c>
      <c r="M146" s="12" t="s">
        <v>480</v>
      </c>
      <c r="N146" s="14" t="s">
        <v>130</v>
      </c>
      <c r="O146" s="14"/>
      <c r="P146" s="12" t="s">
        <v>131</v>
      </c>
      <c r="Q146" s="12" t="s">
        <v>775</v>
      </c>
      <c r="R146" s="12" t="s">
        <v>776</v>
      </c>
    </row>
    <row r="147" customFormat="false" ht="30" hidden="false" customHeight="true" outlineLevel="0" collapsed="false">
      <c r="A147" s="12" t="s">
        <v>127</v>
      </c>
      <c r="B147" s="12" t="s">
        <v>508</v>
      </c>
      <c r="C147" s="12" t="n">
        <v>133</v>
      </c>
      <c r="D147" s="13" t="str">
        <f aca="false">HYPERLINK(BaseURL&amp;"/proposals/project-matador-gas-plant-pmg-2gekpe","Project Matador Gas Plant (PMG)")</f>
        <v>Project Matador Gas Plant (PMG)</v>
      </c>
      <c r="E147" s="12" t="s">
        <v>465</v>
      </c>
      <c r="F147" s="12" t="s">
        <v>86</v>
      </c>
      <c r="G147" s="12" t="s">
        <v>466</v>
      </c>
      <c r="H147" s="12" t="s">
        <v>83</v>
      </c>
      <c r="I147" s="14" t="s">
        <v>458</v>
      </c>
      <c r="J147" s="12" t="s">
        <v>602</v>
      </c>
      <c r="K147" s="12" t="s">
        <v>510</v>
      </c>
      <c r="L147" s="12" t="s">
        <v>471</v>
      </c>
      <c r="M147" s="12" t="s">
        <v>480</v>
      </c>
      <c r="N147" s="14" t="s">
        <v>130</v>
      </c>
      <c r="O147" s="14"/>
      <c r="P147" s="12" t="s">
        <v>131</v>
      </c>
      <c r="Q147" s="12" t="s">
        <v>777</v>
      </c>
      <c r="R147" s="12" t="s">
        <v>778</v>
      </c>
    </row>
    <row r="148" customFormat="false" ht="30" hidden="false" customHeight="true" outlineLevel="0" collapsed="false">
      <c r="A148" s="12" t="s">
        <v>127</v>
      </c>
      <c r="B148" s="12" t="s">
        <v>508</v>
      </c>
      <c r="C148" s="12" t="n">
        <v>134</v>
      </c>
      <c r="D148" s="13" t="str">
        <f aca="false">HYPERLINK(BaseURL&amp;"/proposals/project-matador-gas-plant-pmg-yrb4kf","Project Matador Gas Plant (PMG)")</f>
        <v>Project Matador Gas Plant (PMG)</v>
      </c>
      <c r="E148" s="12" t="s">
        <v>465</v>
      </c>
      <c r="F148" s="12" t="s">
        <v>86</v>
      </c>
      <c r="G148" s="12" t="s">
        <v>466</v>
      </c>
      <c r="H148" s="12" t="s">
        <v>83</v>
      </c>
      <c r="I148" s="14" t="s">
        <v>458</v>
      </c>
      <c r="J148" s="12" t="s">
        <v>602</v>
      </c>
      <c r="K148" s="12" t="s">
        <v>510</v>
      </c>
      <c r="L148" s="12" t="s">
        <v>471</v>
      </c>
      <c r="M148" s="12" t="s">
        <v>480</v>
      </c>
      <c r="N148" s="14" t="s">
        <v>130</v>
      </c>
      <c r="O148" s="14"/>
      <c r="P148" s="12" t="s">
        <v>131</v>
      </c>
      <c r="Q148" s="12" t="s">
        <v>779</v>
      </c>
      <c r="R148" s="12" t="s">
        <v>780</v>
      </c>
    </row>
    <row r="149" customFormat="false" ht="30" hidden="false" customHeight="true" outlineLevel="0" collapsed="false">
      <c r="A149" s="12" t="s">
        <v>127</v>
      </c>
      <c r="B149" s="12" t="s">
        <v>508</v>
      </c>
      <c r="C149" s="12" t="n">
        <v>135</v>
      </c>
      <c r="D149" s="13" t="str">
        <f aca="false">HYPERLINK(BaseURL&amp;"/proposals/project-matador-gas-plant-pmg-ymptsk","Project Matador Gas Plant (PMG)")</f>
        <v>Project Matador Gas Plant (PMG)</v>
      </c>
      <c r="E149" s="12" t="s">
        <v>465</v>
      </c>
      <c r="F149" s="12" t="s">
        <v>86</v>
      </c>
      <c r="G149" s="12" t="s">
        <v>466</v>
      </c>
      <c r="H149" s="12" t="s">
        <v>83</v>
      </c>
      <c r="I149" s="14" t="s">
        <v>458</v>
      </c>
      <c r="J149" s="12" t="s">
        <v>602</v>
      </c>
      <c r="K149" s="12" t="s">
        <v>510</v>
      </c>
      <c r="L149" s="12" t="s">
        <v>471</v>
      </c>
      <c r="M149" s="12" t="s">
        <v>480</v>
      </c>
      <c r="N149" s="14" t="s">
        <v>130</v>
      </c>
      <c r="O149" s="14"/>
      <c r="P149" s="12" t="s">
        <v>131</v>
      </c>
      <c r="Q149" s="12" t="s">
        <v>781</v>
      </c>
      <c r="R149" s="12" t="s">
        <v>782</v>
      </c>
    </row>
    <row r="150" customFormat="false" ht="30" hidden="false" customHeight="true" outlineLevel="0" collapsed="false">
      <c r="A150" s="12" t="s">
        <v>127</v>
      </c>
      <c r="B150" s="12" t="s">
        <v>508</v>
      </c>
      <c r="C150" s="12" t="n">
        <v>136</v>
      </c>
      <c r="D150" s="13" t="str">
        <f aca="false">HYPERLINK(BaseURL&amp;"/proposals/project-matador-gas-plant-pmg-ef7k90","Project Matador Gas Plant (PMG)")</f>
        <v>Project Matador Gas Plant (PMG)</v>
      </c>
      <c r="E150" s="12" t="s">
        <v>465</v>
      </c>
      <c r="F150" s="12" t="s">
        <v>86</v>
      </c>
      <c r="G150" s="12" t="s">
        <v>466</v>
      </c>
      <c r="H150" s="12" t="s">
        <v>83</v>
      </c>
      <c r="I150" s="14" t="s">
        <v>458</v>
      </c>
      <c r="J150" s="12" t="s">
        <v>602</v>
      </c>
      <c r="K150" s="12" t="s">
        <v>510</v>
      </c>
      <c r="L150" s="12" t="s">
        <v>471</v>
      </c>
      <c r="M150" s="12" t="s">
        <v>480</v>
      </c>
      <c r="N150" s="14" t="s">
        <v>130</v>
      </c>
      <c r="O150" s="14"/>
      <c r="P150" s="12" t="s">
        <v>131</v>
      </c>
      <c r="Q150" s="12" t="s">
        <v>783</v>
      </c>
      <c r="R150" s="12" t="s">
        <v>784</v>
      </c>
    </row>
    <row r="151" customFormat="false" ht="30" hidden="false" customHeight="true" outlineLevel="0" collapsed="false">
      <c r="A151" s="12" t="s">
        <v>127</v>
      </c>
      <c r="B151" s="12" t="s">
        <v>508</v>
      </c>
      <c r="C151" s="12" t="n">
        <v>137</v>
      </c>
      <c r="D151" s="13" t="str">
        <f aca="false">HYPERLINK(BaseURL&amp;"/proposals/project-matador-gas-plant-pmg-4q9mw6","Project Matador Gas Plant (PMG)")</f>
        <v>Project Matador Gas Plant (PMG)</v>
      </c>
      <c r="E151" s="12" t="s">
        <v>465</v>
      </c>
      <c r="F151" s="12" t="s">
        <v>86</v>
      </c>
      <c r="G151" s="12" t="s">
        <v>466</v>
      </c>
      <c r="H151" s="12" t="s">
        <v>83</v>
      </c>
      <c r="I151" s="14" t="s">
        <v>458</v>
      </c>
      <c r="J151" s="12" t="s">
        <v>602</v>
      </c>
      <c r="K151" s="12" t="s">
        <v>510</v>
      </c>
      <c r="L151" s="12" t="s">
        <v>471</v>
      </c>
      <c r="M151" s="12" t="s">
        <v>480</v>
      </c>
      <c r="N151" s="14" t="s">
        <v>130</v>
      </c>
      <c r="O151" s="14"/>
      <c r="P151" s="12" t="s">
        <v>131</v>
      </c>
      <c r="Q151" s="12" t="s">
        <v>785</v>
      </c>
      <c r="R151" s="12" t="s">
        <v>786</v>
      </c>
    </row>
    <row r="152" customFormat="false" ht="30" hidden="false" customHeight="true" outlineLevel="0" collapsed="false">
      <c r="A152" s="12" t="s">
        <v>127</v>
      </c>
      <c r="B152" s="12" t="s">
        <v>508</v>
      </c>
      <c r="C152" s="12" t="n">
        <v>138</v>
      </c>
      <c r="D152" s="13" t="str">
        <f aca="false">HYPERLINK(BaseURL&amp;"/proposals/project-matador-gas-plant-pmg-7z5z53","Project Matador Gas Plant (PMG)")</f>
        <v>Project Matador Gas Plant (PMG)</v>
      </c>
      <c r="E152" s="12" t="s">
        <v>465</v>
      </c>
      <c r="F152" s="12" t="s">
        <v>86</v>
      </c>
      <c r="G152" s="12" t="s">
        <v>466</v>
      </c>
      <c r="H152" s="12" t="s">
        <v>83</v>
      </c>
      <c r="I152" s="14" t="s">
        <v>458</v>
      </c>
      <c r="J152" s="12" t="s">
        <v>602</v>
      </c>
      <c r="K152" s="12" t="s">
        <v>510</v>
      </c>
      <c r="L152" s="12" t="s">
        <v>471</v>
      </c>
      <c r="M152" s="12" t="s">
        <v>480</v>
      </c>
      <c r="N152" s="14" t="s">
        <v>130</v>
      </c>
      <c r="O152" s="14"/>
      <c r="P152" s="12" t="s">
        <v>131</v>
      </c>
      <c r="Q152" s="12" t="s">
        <v>787</v>
      </c>
      <c r="R152" s="12" t="s">
        <v>788</v>
      </c>
    </row>
    <row r="153" customFormat="false" ht="30" hidden="false" customHeight="true" outlineLevel="0" collapsed="false">
      <c r="A153" s="12" t="s">
        <v>127</v>
      </c>
      <c r="B153" s="12" t="s">
        <v>508</v>
      </c>
      <c r="C153" s="12" t="n">
        <v>139</v>
      </c>
      <c r="D153" s="13" t="str">
        <f aca="false">HYPERLINK(BaseURL&amp;"/proposals/project-matador-gas-plant-pmg-y3jpq7","Project Matador Gas Plant (PMG)")</f>
        <v>Project Matador Gas Plant (PMG)</v>
      </c>
      <c r="E153" s="12" t="s">
        <v>465</v>
      </c>
      <c r="F153" s="12" t="s">
        <v>86</v>
      </c>
      <c r="G153" s="12" t="s">
        <v>466</v>
      </c>
      <c r="H153" s="12" t="s">
        <v>83</v>
      </c>
      <c r="I153" s="14" t="s">
        <v>458</v>
      </c>
      <c r="J153" s="12" t="s">
        <v>602</v>
      </c>
      <c r="K153" s="12" t="s">
        <v>510</v>
      </c>
      <c r="L153" s="12" t="s">
        <v>471</v>
      </c>
      <c r="M153" s="12" t="s">
        <v>480</v>
      </c>
      <c r="N153" s="14" t="s">
        <v>130</v>
      </c>
      <c r="O153" s="14"/>
      <c r="P153" s="12" t="s">
        <v>131</v>
      </c>
      <c r="Q153" s="12" t="s">
        <v>789</v>
      </c>
      <c r="R153" s="12" t="s">
        <v>790</v>
      </c>
    </row>
    <row r="154" customFormat="false" ht="30" hidden="false" customHeight="true" outlineLevel="0" collapsed="false">
      <c r="A154" s="12" t="s">
        <v>127</v>
      </c>
      <c r="B154" s="12" t="s">
        <v>508</v>
      </c>
      <c r="C154" s="12" t="n">
        <v>140</v>
      </c>
      <c r="D154" s="13" t="str">
        <f aca="false">HYPERLINK(BaseURL&amp;"/proposals/project-matador-gas-plant-pmg-q9w29z","Project Matador Gas Plant (PMG)")</f>
        <v>Project Matador Gas Plant (PMG)</v>
      </c>
      <c r="E154" s="12" t="s">
        <v>465</v>
      </c>
      <c r="F154" s="12" t="s">
        <v>86</v>
      </c>
      <c r="G154" s="12" t="s">
        <v>466</v>
      </c>
      <c r="H154" s="12" t="s">
        <v>83</v>
      </c>
      <c r="I154" s="14" t="s">
        <v>458</v>
      </c>
      <c r="J154" s="12" t="s">
        <v>602</v>
      </c>
      <c r="K154" s="12" t="s">
        <v>510</v>
      </c>
      <c r="L154" s="12" t="s">
        <v>471</v>
      </c>
      <c r="M154" s="12" t="s">
        <v>480</v>
      </c>
      <c r="N154" s="14" t="s">
        <v>130</v>
      </c>
      <c r="O154" s="14"/>
      <c r="P154" s="12" t="s">
        <v>131</v>
      </c>
      <c r="Q154" s="12" t="s">
        <v>791</v>
      </c>
      <c r="R154" s="12" t="s">
        <v>792</v>
      </c>
    </row>
    <row r="155" customFormat="false" ht="30" hidden="false" customHeight="true" outlineLevel="0" collapsed="false">
      <c r="A155" s="12" t="s">
        <v>127</v>
      </c>
      <c r="B155" s="12" t="s">
        <v>508</v>
      </c>
      <c r="C155" s="12" t="n">
        <v>141</v>
      </c>
      <c r="D155" s="13" t="str">
        <f aca="false">HYPERLINK(BaseURL&amp;"/proposals/project-matador-gas-plant-pmg-antjgp","Project Matador Gas Plant (PMG)")</f>
        <v>Project Matador Gas Plant (PMG)</v>
      </c>
      <c r="E155" s="12" t="s">
        <v>465</v>
      </c>
      <c r="F155" s="12" t="s">
        <v>86</v>
      </c>
      <c r="G155" s="12" t="s">
        <v>466</v>
      </c>
      <c r="H155" s="12" t="s">
        <v>83</v>
      </c>
      <c r="I155" s="14" t="s">
        <v>458</v>
      </c>
      <c r="J155" s="12" t="s">
        <v>602</v>
      </c>
      <c r="K155" s="12" t="s">
        <v>510</v>
      </c>
      <c r="L155" s="12" t="s">
        <v>471</v>
      </c>
      <c r="M155" s="12" t="s">
        <v>480</v>
      </c>
      <c r="N155" s="14" t="s">
        <v>130</v>
      </c>
      <c r="O155" s="14"/>
      <c r="P155" s="12" t="s">
        <v>131</v>
      </c>
      <c r="Q155" s="12" t="s">
        <v>793</v>
      </c>
      <c r="R155" s="12" t="s">
        <v>794</v>
      </c>
    </row>
    <row r="156" customFormat="false" ht="30" hidden="false" customHeight="true" outlineLevel="0" collapsed="false">
      <c r="A156" s="12" t="s">
        <v>127</v>
      </c>
      <c r="B156" s="12" t="s">
        <v>508</v>
      </c>
      <c r="C156" s="12" t="n">
        <v>142</v>
      </c>
      <c r="D156" s="13" t="str">
        <f aca="false">HYPERLINK(BaseURL&amp;"/proposals/project-matador-gas-plant-pmg-ec3v46","Project Matador Gas Plant (PMG)")</f>
        <v>Project Matador Gas Plant (PMG)</v>
      </c>
      <c r="E156" s="12" t="s">
        <v>465</v>
      </c>
      <c r="F156" s="12" t="s">
        <v>86</v>
      </c>
      <c r="G156" s="12" t="s">
        <v>466</v>
      </c>
      <c r="H156" s="12" t="s">
        <v>83</v>
      </c>
      <c r="I156" s="14" t="s">
        <v>458</v>
      </c>
      <c r="J156" s="12" t="s">
        <v>795</v>
      </c>
      <c r="K156" s="12" t="s">
        <v>510</v>
      </c>
      <c r="L156" s="12" t="s">
        <v>796</v>
      </c>
      <c r="M156" s="12" t="s">
        <v>480</v>
      </c>
      <c r="N156" s="14" t="s">
        <v>130</v>
      </c>
      <c r="O156" s="14"/>
      <c r="P156" s="12" t="s">
        <v>131</v>
      </c>
      <c r="Q156" s="12" t="s">
        <v>797</v>
      </c>
      <c r="R156" s="12" t="s">
        <v>798</v>
      </c>
    </row>
    <row r="157" customFormat="false" ht="30" hidden="false" customHeight="true" outlineLevel="0" collapsed="false">
      <c r="A157" s="12" t="s">
        <v>127</v>
      </c>
      <c r="B157" s="12" t="s">
        <v>508</v>
      </c>
      <c r="C157" s="12" t="n">
        <v>143</v>
      </c>
      <c r="D157" s="13" t="str">
        <f aca="false">HYPERLINK(BaseURL&amp;"/proposals/project-matador-gas-plant-pmg-7j4aec","Project Matador Gas Plant (PMG)")</f>
        <v>Project Matador Gas Plant (PMG)</v>
      </c>
      <c r="E157" s="12" t="s">
        <v>465</v>
      </c>
      <c r="F157" s="12" t="s">
        <v>86</v>
      </c>
      <c r="G157" s="12" t="s">
        <v>466</v>
      </c>
      <c r="H157" s="12" t="s">
        <v>83</v>
      </c>
      <c r="I157" s="14" t="s">
        <v>458</v>
      </c>
      <c r="J157" s="12" t="s">
        <v>795</v>
      </c>
      <c r="K157" s="12" t="s">
        <v>510</v>
      </c>
      <c r="L157" s="12" t="s">
        <v>796</v>
      </c>
      <c r="M157" s="12" t="s">
        <v>480</v>
      </c>
      <c r="N157" s="14" t="s">
        <v>130</v>
      </c>
      <c r="O157" s="14"/>
      <c r="P157" s="12" t="s">
        <v>131</v>
      </c>
      <c r="Q157" s="12" t="s">
        <v>799</v>
      </c>
      <c r="R157" s="12" t="s">
        <v>800</v>
      </c>
    </row>
    <row r="158" customFormat="false" ht="30" hidden="false" customHeight="true" outlineLevel="0" collapsed="false">
      <c r="A158" s="12" t="s">
        <v>127</v>
      </c>
      <c r="B158" s="12" t="s">
        <v>508</v>
      </c>
      <c r="C158" s="12" t="n">
        <v>144</v>
      </c>
      <c r="D158" s="13" t="str">
        <f aca="false">HYPERLINK(BaseURL&amp;"/proposals/project-matador-gas-plant-pmg-zx19p4","Project Matador Gas Plant (PMG)")</f>
        <v>Project Matador Gas Plant (PMG)</v>
      </c>
      <c r="E158" s="12" t="s">
        <v>465</v>
      </c>
      <c r="F158" s="12" t="s">
        <v>86</v>
      </c>
      <c r="G158" s="12" t="s">
        <v>466</v>
      </c>
      <c r="H158" s="12" t="s">
        <v>83</v>
      </c>
      <c r="I158" s="14" t="s">
        <v>458</v>
      </c>
      <c r="J158" s="12" t="s">
        <v>795</v>
      </c>
      <c r="K158" s="12" t="s">
        <v>510</v>
      </c>
      <c r="L158" s="12" t="s">
        <v>796</v>
      </c>
      <c r="M158" s="12" t="s">
        <v>480</v>
      </c>
      <c r="N158" s="14" t="s">
        <v>130</v>
      </c>
      <c r="O158" s="14"/>
      <c r="P158" s="12" t="s">
        <v>131</v>
      </c>
      <c r="Q158" s="12" t="s">
        <v>801</v>
      </c>
      <c r="R158" s="12" t="s">
        <v>802</v>
      </c>
    </row>
    <row r="159" customFormat="false" ht="30" hidden="false" customHeight="true" outlineLevel="0" collapsed="false">
      <c r="A159" s="12" t="s">
        <v>127</v>
      </c>
      <c r="B159" s="12" t="s">
        <v>508</v>
      </c>
      <c r="C159" s="12" t="n">
        <v>145</v>
      </c>
      <c r="D159" s="13" t="str">
        <f aca="false">HYPERLINK(BaseURL&amp;"/proposals/project-matador-gas-plant-pmg-qf7mjr","Project Matador Gas Plant (PMG)")</f>
        <v>Project Matador Gas Plant (PMG)</v>
      </c>
      <c r="E159" s="12" t="s">
        <v>465</v>
      </c>
      <c r="F159" s="12" t="s">
        <v>86</v>
      </c>
      <c r="G159" s="12" t="s">
        <v>466</v>
      </c>
      <c r="H159" s="12" t="s">
        <v>83</v>
      </c>
      <c r="I159" s="14" t="s">
        <v>458</v>
      </c>
      <c r="J159" s="12" t="s">
        <v>795</v>
      </c>
      <c r="K159" s="12" t="s">
        <v>510</v>
      </c>
      <c r="L159" s="12" t="s">
        <v>796</v>
      </c>
      <c r="M159" s="12" t="s">
        <v>480</v>
      </c>
      <c r="N159" s="14" t="s">
        <v>130</v>
      </c>
      <c r="O159" s="14"/>
      <c r="P159" s="12" t="s">
        <v>131</v>
      </c>
      <c r="Q159" s="12" t="s">
        <v>803</v>
      </c>
      <c r="R159" s="12" t="s">
        <v>804</v>
      </c>
    </row>
    <row r="160" customFormat="false" ht="30" hidden="false" customHeight="true" outlineLevel="0" collapsed="false">
      <c r="A160" s="12" t="s">
        <v>127</v>
      </c>
      <c r="B160" s="12" t="s">
        <v>508</v>
      </c>
      <c r="C160" s="12" t="n">
        <v>146</v>
      </c>
      <c r="D160" s="13" t="str">
        <f aca="false">HYPERLINK(BaseURL&amp;"/proposals/project-matador-gas-plant-pmg-x1grsh","Project Matador Gas Plant (PMG)")</f>
        <v>Project Matador Gas Plant (PMG)</v>
      </c>
      <c r="E160" s="12" t="s">
        <v>465</v>
      </c>
      <c r="F160" s="12" t="s">
        <v>86</v>
      </c>
      <c r="G160" s="12" t="s">
        <v>466</v>
      </c>
      <c r="H160" s="12" t="s">
        <v>83</v>
      </c>
      <c r="I160" s="14" t="s">
        <v>458</v>
      </c>
      <c r="J160" s="12" t="s">
        <v>795</v>
      </c>
      <c r="K160" s="12" t="s">
        <v>510</v>
      </c>
      <c r="L160" s="12" t="s">
        <v>796</v>
      </c>
      <c r="M160" s="12" t="s">
        <v>480</v>
      </c>
      <c r="N160" s="14" t="s">
        <v>130</v>
      </c>
      <c r="O160" s="14"/>
      <c r="P160" s="12" t="s">
        <v>131</v>
      </c>
      <c r="Q160" s="12" t="s">
        <v>805</v>
      </c>
      <c r="R160" s="12" t="s">
        <v>806</v>
      </c>
    </row>
    <row r="161" customFormat="false" ht="30" hidden="false" customHeight="true" outlineLevel="0" collapsed="false">
      <c r="A161" s="12" t="s">
        <v>127</v>
      </c>
      <c r="B161" s="12" t="s">
        <v>508</v>
      </c>
      <c r="C161" s="12" t="n">
        <v>147</v>
      </c>
      <c r="D161" s="13" t="str">
        <f aca="false">HYPERLINK(BaseURL&amp;"/proposals/project-matador-gas-plant-pmg-1cxx4q","Project Matador Gas Plant (PMG)")</f>
        <v>Project Matador Gas Plant (PMG)</v>
      </c>
      <c r="E161" s="12" t="s">
        <v>465</v>
      </c>
      <c r="F161" s="12" t="s">
        <v>86</v>
      </c>
      <c r="G161" s="12" t="s">
        <v>466</v>
      </c>
      <c r="H161" s="12" t="s">
        <v>83</v>
      </c>
      <c r="I161" s="14" t="s">
        <v>458</v>
      </c>
      <c r="J161" s="12" t="s">
        <v>795</v>
      </c>
      <c r="K161" s="12" t="s">
        <v>510</v>
      </c>
      <c r="L161" s="12" t="s">
        <v>796</v>
      </c>
      <c r="M161" s="12" t="s">
        <v>480</v>
      </c>
      <c r="N161" s="14" t="s">
        <v>130</v>
      </c>
      <c r="O161" s="14"/>
      <c r="P161" s="12" t="s">
        <v>131</v>
      </c>
      <c r="Q161" s="12" t="s">
        <v>807</v>
      </c>
      <c r="R161" s="12" t="s">
        <v>808</v>
      </c>
    </row>
    <row r="162" customFormat="false" ht="30" hidden="false" customHeight="true" outlineLevel="0" collapsed="false">
      <c r="A162" s="12" t="s">
        <v>127</v>
      </c>
      <c r="B162" s="12" t="s">
        <v>508</v>
      </c>
      <c r="C162" s="12" t="n">
        <v>148</v>
      </c>
      <c r="D162" s="13" t="str">
        <f aca="false">HYPERLINK(BaseURL&amp;"/proposals/project-matador-gas-plant-pmg-gm6jc3","Project Matador Gas Plant (PMG)")</f>
        <v>Project Matador Gas Plant (PMG)</v>
      </c>
      <c r="E162" s="12" t="s">
        <v>465</v>
      </c>
      <c r="F162" s="12" t="s">
        <v>86</v>
      </c>
      <c r="G162" s="12" t="s">
        <v>466</v>
      </c>
      <c r="H162" s="12" t="s">
        <v>83</v>
      </c>
      <c r="I162" s="14" t="s">
        <v>458</v>
      </c>
      <c r="J162" s="12" t="s">
        <v>809</v>
      </c>
      <c r="K162" s="12" t="s">
        <v>487</v>
      </c>
      <c r="L162" s="12" t="s">
        <v>796</v>
      </c>
      <c r="M162" s="12" t="s">
        <v>480</v>
      </c>
      <c r="N162" s="14" t="s">
        <v>130</v>
      </c>
      <c r="O162" s="14"/>
      <c r="P162" s="12" t="s">
        <v>131</v>
      </c>
      <c r="Q162" s="12" t="s">
        <v>810</v>
      </c>
      <c r="R162" s="12" t="s">
        <v>811</v>
      </c>
    </row>
    <row r="163" customFormat="false" ht="30" hidden="false" customHeight="true" outlineLevel="0" collapsed="false">
      <c r="A163" s="12" t="s">
        <v>127</v>
      </c>
      <c r="B163" s="12" t="s">
        <v>508</v>
      </c>
      <c r="C163" s="12" t="n">
        <v>149</v>
      </c>
      <c r="D163" s="13" t="str">
        <f aca="false">HYPERLINK(BaseURL&amp;"/proposals/project-matador-gas-plant-pmg-pckdtf","Project Matador Gas Plant (PMG)")</f>
        <v>Project Matador Gas Plant (PMG)</v>
      </c>
      <c r="E163" s="12" t="s">
        <v>465</v>
      </c>
      <c r="F163" s="12" t="s">
        <v>86</v>
      </c>
      <c r="G163" s="12" t="s">
        <v>466</v>
      </c>
      <c r="H163" s="12" t="s">
        <v>83</v>
      </c>
      <c r="I163" s="14" t="s">
        <v>458</v>
      </c>
      <c r="J163" s="12" t="s">
        <v>809</v>
      </c>
      <c r="K163" s="12" t="s">
        <v>487</v>
      </c>
      <c r="L163" s="12" t="s">
        <v>796</v>
      </c>
      <c r="M163" s="12" t="s">
        <v>480</v>
      </c>
      <c r="N163" s="14" t="s">
        <v>130</v>
      </c>
      <c r="O163" s="14"/>
      <c r="P163" s="12" t="s">
        <v>131</v>
      </c>
      <c r="Q163" s="12" t="s">
        <v>812</v>
      </c>
      <c r="R163" s="12" t="s">
        <v>813</v>
      </c>
    </row>
    <row r="164" customFormat="false" ht="30" hidden="false" customHeight="true" outlineLevel="0" collapsed="false">
      <c r="A164" s="12" t="s">
        <v>127</v>
      </c>
      <c r="B164" s="12" t="s">
        <v>508</v>
      </c>
      <c r="C164" s="12" t="n">
        <v>150</v>
      </c>
      <c r="D164" s="13" t="str">
        <f aca="false">HYPERLINK(BaseURL&amp;"/proposals/project-matador-gas-plant-pmg-2ky2cw","Project Matador Gas Plant (PMG)")</f>
        <v>Project Matador Gas Plant (PMG)</v>
      </c>
      <c r="E164" s="12" t="s">
        <v>465</v>
      </c>
      <c r="F164" s="12" t="s">
        <v>86</v>
      </c>
      <c r="G164" s="12" t="s">
        <v>466</v>
      </c>
      <c r="H164" s="12" t="s">
        <v>83</v>
      </c>
      <c r="I164" s="14" t="s">
        <v>458</v>
      </c>
      <c r="J164" s="12" t="s">
        <v>809</v>
      </c>
      <c r="K164" s="12" t="s">
        <v>487</v>
      </c>
      <c r="L164" s="12" t="s">
        <v>796</v>
      </c>
      <c r="M164" s="12" t="s">
        <v>480</v>
      </c>
      <c r="N164" s="14" t="s">
        <v>130</v>
      </c>
      <c r="O164" s="14"/>
      <c r="P164" s="12" t="s">
        <v>131</v>
      </c>
      <c r="Q164" s="12" t="s">
        <v>814</v>
      </c>
      <c r="R164" s="12" t="s">
        <v>815</v>
      </c>
    </row>
    <row r="165" customFormat="false" ht="30" hidden="false" customHeight="true" outlineLevel="0" collapsed="false">
      <c r="A165" s="12" t="s">
        <v>127</v>
      </c>
      <c r="B165" s="12" t="s">
        <v>508</v>
      </c>
      <c r="C165" s="12" t="n">
        <v>151</v>
      </c>
      <c r="D165" s="13" t="str">
        <f aca="false">HYPERLINK(BaseURL&amp;"/proposals/project-matador-gas-plant-pmg-1ps0vq","Project Matador Gas Plant (PMG)")</f>
        <v>Project Matador Gas Plant (PMG)</v>
      </c>
      <c r="E165" s="12" t="s">
        <v>465</v>
      </c>
      <c r="F165" s="12" t="s">
        <v>86</v>
      </c>
      <c r="G165" s="12" t="s">
        <v>466</v>
      </c>
      <c r="H165" s="12" t="s">
        <v>83</v>
      </c>
      <c r="I165" s="14" t="s">
        <v>458</v>
      </c>
      <c r="J165" s="12" t="s">
        <v>816</v>
      </c>
      <c r="K165" s="12" t="s">
        <v>487</v>
      </c>
      <c r="L165" s="12" t="s">
        <v>471</v>
      </c>
      <c r="M165" s="12" t="s">
        <v>480</v>
      </c>
      <c r="N165" s="14" t="s">
        <v>130</v>
      </c>
      <c r="O165" s="14"/>
      <c r="P165" s="12" t="s">
        <v>131</v>
      </c>
      <c r="Q165" s="12" t="s">
        <v>817</v>
      </c>
      <c r="R165" s="12" t="s">
        <v>818</v>
      </c>
    </row>
    <row r="166" customFormat="false" ht="30" hidden="false" customHeight="true" outlineLevel="0" collapsed="false">
      <c r="A166" s="12" t="s">
        <v>127</v>
      </c>
      <c r="B166" s="12" t="s">
        <v>508</v>
      </c>
      <c r="C166" s="12" t="n">
        <v>152</v>
      </c>
      <c r="D166" s="13" t="str">
        <f aca="false">HYPERLINK(BaseURL&amp;"/proposals/project-matador-gas-plant-pmg-16f2q7","Project Matador Gas Plant (PMG)")</f>
        <v>Project Matador Gas Plant (PMG)</v>
      </c>
      <c r="E166" s="12" t="s">
        <v>465</v>
      </c>
      <c r="F166" s="12" t="s">
        <v>86</v>
      </c>
      <c r="G166" s="12" t="s">
        <v>466</v>
      </c>
      <c r="H166" s="12" t="s">
        <v>83</v>
      </c>
      <c r="I166" s="14" t="s">
        <v>458</v>
      </c>
      <c r="J166" s="12" t="s">
        <v>816</v>
      </c>
      <c r="K166" s="12" t="s">
        <v>487</v>
      </c>
      <c r="L166" s="12" t="s">
        <v>471</v>
      </c>
      <c r="M166" s="12" t="s">
        <v>480</v>
      </c>
      <c r="N166" s="14" t="s">
        <v>130</v>
      </c>
      <c r="O166" s="14"/>
      <c r="P166" s="12" t="s">
        <v>131</v>
      </c>
      <c r="Q166" s="12" t="s">
        <v>819</v>
      </c>
      <c r="R166" s="12" t="s">
        <v>820</v>
      </c>
    </row>
    <row r="167" customFormat="false" ht="30" hidden="false" customHeight="true" outlineLevel="0" collapsed="false">
      <c r="A167" s="12" t="s">
        <v>127</v>
      </c>
      <c r="B167" s="12" t="s">
        <v>508</v>
      </c>
      <c r="C167" s="12" t="n">
        <v>153</v>
      </c>
      <c r="D167" s="13" t="str">
        <f aca="false">HYPERLINK(BaseURL&amp;"/proposals/project-matador-gas-plant-pmg-q611mw","Project Matador Gas Plant (PMG)")</f>
        <v>Project Matador Gas Plant (PMG)</v>
      </c>
      <c r="E167" s="12" t="s">
        <v>465</v>
      </c>
      <c r="F167" s="12" t="s">
        <v>86</v>
      </c>
      <c r="G167" s="12" t="s">
        <v>466</v>
      </c>
      <c r="H167" s="12" t="s">
        <v>83</v>
      </c>
      <c r="I167" s="14" t="s">
        <v>458</v>
      </c>
      <c r="J167" s="12" t="s">
        <v>816</v>
      </c>
      <c r="K167" s="12" t="s">
        <v>487</v>
      </c>
      <c r="L167" s="12" t="s">
        <v>471</v>
      </c>
      <c r="M167" s="12" t="s">
        <v>480</v>
      </c>
      <c r="N167" s="14" t="s">
        <v>130</v>
      </c>
      <c r="O167" s="14"/>
      <c r="P167" s="12" t="s">
        <v>131</v>
      </c>
      <c r="Q167" s="12" t="s">
        <v>821</v>
      </c>
      <c r="R167" s="12" t="s">
        <v>822</v>
      </c>
    </row>
    <row r="168" customFormat="false" ht="30" hidden="false" customHeight="true" outlineLevel="0" collapsed="false">
      <c r="A168" s="12" t="s">
        <v>127</v>
      </c>
      <c r="B168" s="12" t="s">
        <v>508</v>
      </c>
      <c r="C168" s="12" t="n">
        <v>154</v>
      </c>
      <c r="D168" s="13" t="str">
        <f aca="false">HYPERLINK(BaseURL&amp;"/proposals/project-matador-gas-plant-pmg-fw0sva","Project Matador Gas Plant (PMG)")</f>
        <v>Project Matador Gas Plant (PMG)</v>
      </c>
      <c r="E168" s="12" t="s">
        <v>465</v>
      </c>
      <c r="F168" s="12" t="s">
        <v>86</v>
      </c>
      <c r="G168" s="12" t="s">
        <v>466</v>
      </c>
      <c r="H168" s="12" t="s">
        <v>83</v>
      </c>
      <c r="I168" s="14" t="s">
        <v>458</v>
      </c>
      <c r="J168" s="12" t="s">
        <v>816</v>
      </c>
      <c r="K168" s="12" t="s">
        <v>487</v>
      </c>
      <c r="L168" s="12" t="s">
        <v>471</v>
      </c>
      <c r="M168" s="12" t="s">
        <v>480</v>
      </c>
      <c r="N168" s="14" t="s">
        <v>130</v>
      </c>
      <c r="O168" s="14"/>
      <c r="P168" s="12" t="s">
        <v>131</v>
      </c>
      <c r="Q168" s="12" t="s">
        <v>823</v>
      </c>
      <c r="R168" s="12" t="s">
        <v>824</v>
      </c>
    </row>
    <row r="169" customFormat="false" ht="30" hidden="false" customHeight="true" outlineLevel="0" collapsed="false">
      <c r="A169" s="12" t="s">
        <v>127</v>
      </c>
      <c r="B169" s="12" t="s">
        <v>508</v>
      </c>
      <c r="C169" s="12" t="n">
        <v>155</v>
      </c>
      <c r="D169" s="13" t="str">
        <f aca="false">HYPERLINK(BaseURL&amp;"/proposals/project-matador-gas-plant-pmg-06jjy8","Project Matador Gas Plant (PMG)")</f>
        <v>Project Matador Gas Plant (PMG)</v>
      </c>
      <c r="E169" s="12" t="s">
        <v>465</v>
      </c>
      <c r="F169" s="12" t="s">
        <v>86</v>
      </c>
      <c r="G169" s="12" t="s">
        <v>466</v>
      </c>
      <c r="H169" s="12" t="s">
        <v>83</v>
      </c>
      <c r="I169" s="14" t="s">
        <v>458</v>
      </c>
      <c r="J169" s="12" t="s">
        <v>816</v>
      </c>
      <c r="K169" s="12" t="s">
        <v>487</v>
      </c>
      <c r="L169" s="12" t="s">
        <v>471</v>
      </c>
      <c r="M169" s="12" t="s">
        <v>480</v>
      </c>
      <c r="N169" s="14" t="s">
        <v>130</v>
      </c>
      <c r="O169" s="14"/>
      <c r="P169" s="12" t="s">
        <v>131</v>
      </c>
      <c r="Q169" s="12" t="s">
        <v>825</v>
      </c>
      <c r="R169" s="12" t="s">
        <v>826</v>
      </c>
    </row>
    <row r="170" customFormat="false" ht="30" hidden="false" customHeight="true" outlineLevel="0" collapsed="false">
      <c r="A170" s="12" t="s">
        <v>127</v>
      </c>
      <c r="B170" s="12" t="s">
        <v>508</v>
      </c>
      <c r="C170" s="12" t="n">
        <v>156</v>
      </c>
      <c r="D170" s="13" t="str">
        <f aca="false">HYPERLINK(BaseURL&amp;"/proposals/project-matador-gas-plant-pmg-9jttvs","Project Matador Gas Plant (PMG)")</f>
        <v>Project Matador Gas Plant (PMG)</v>
      </c>
      <c r="E170" s="12" t="s">
        <v>465</v>
      </c>
      <c r="F170" s="12" t="s">
        <v>86</v>
      </c>
      <c r="G170" s="12" t="s">
        <v>466</v>
      </c>
      <c r="H170" s="12" t="s">
        <v>83</v>
      </c>
      <c r="I170" s="14" t="s">
        <v>458</v>
      </c>
      <c r="J170" s="12" t="s">
        <v>816</v>
      </c>
      <c r="K170" s="12" t="s">
        <v>487</v>
      </c>
      <c r="L170" s="12" t="s">
        <v>471</v>
      </c>
      <c r="M170" s="12" t="s">
        <v>480</v>
      </c>
      <c r="N170" s="14" t="s">
        <v>130</v>
      </c>
      <c r="O170" s="14"/>
      <c r="P170" s="12" t="s">
        <v>131</v>
      </c>
      <c r="Q170" s="12" t="s">
        <v>827</v>
      </c>
      <c r="R170" s="12" t="s">
        <v>828</v>
      </c>
    </row>
    <row r="171" customFormat="false" ht="30" hidden="false" customHeight="true" outlineLevel="0" collapsed="false">
      <c r="A171" s="12" t="s">
        <v>127</v>
      </c>
      <c r="B171" s="12" t="s">
        <v>508</v>
      </c>
      <c r="C171" s="12" t="n">
        <v>157</v>
      </c>
      <c r="D171" s="13" t="str">
        <f aca="false">HYPERLINK(BaseURL&amp;"/proposals/project-matador-gas-plant-pmg-8nsjky","Project Matador Gas Plant (PMG)")</f>
        <v>Project Matador Gas Plant (PMG)</v>
      </c>
      <c r="E171" s="12" t="s">
        <v>465</v>
      </c>
      <c r="F171" s="12" t="s">
        <v>86</v>
      </c>
      <c r="G171" s="12" t="s">
        <v>466</v>
      </c>
      <c r="H171" s="12" t="s">
        <v>83</v>
      </c>
      <c r="I171" s="14" t="s">
        <v>458</v>
      </c>
      <c r="J171" s="12" t="s">
        <v>816</v>
      </c>
      <c r="K171" s="12" t="s">
        <v>487</v>
      </c>
      <c r="L171" s="12" t="s">
        <v>471</v>
      </c>
      <c r="M171" s="12" t="s">
        <v>480</v>
      </c>
      <c r="N171" s="14" t="s">
        <v>130</v>
      </c>
      <c r="O171" s="14"/>
      <c r="P171" s="12" t="s">
        <v>131</v>
      </c>
      <c r="Q171" s="12" t="s">
        <v>829</v>
      </c>
      <c r="R171" s="12" t="s">
        <v>830</v>
      </c>
    </row>
    <row r="172" customFormat="false" ht="30" hidden="false" customHeight="true" outlineLevel="0" collapsed="false">
      <c r="A172" s="12" t="s">
        <v>135</v>
      </c>
      <c r="B172" s="12" t="s">
        <v>831</v>
      </c>
      <c r="C172" s="12" t="n">
        <v>1</v>
      </c>
      <c r="D172" s="13" t="str">
        <f aca="false">HYPERLINK(BaseURL&amp;"/proposals/red-butte-solar-and-storage-cqr50j","Red Butte Solar and Storage")</f>
        <v>Red Butte Solar and Storage</v>
      </c>
      <c r="E172" s="12" t="s">
        <v>39</v>
      </c>
      <c r="F172" s="12" t="s">
        <v>86</v>
      </c>
      <c r="G172" s="12" t="s">
        <v>457</v>
      </c>
      <c r="H172" s="12" t="s">
        <v>83</v>
      </c>
      <c r="I172" s="14" t="s">
        <v>458</v>
      </c>
      <c r="J172" s="12" t="s">
        <v>832</v>
      </c>
      <c r="K172" s="12" t="s">
        <v>467</v>
      </c>
      <c r="L172" s="12" t="s">
        <v>479</v>
      </c>
      <c r="M172" s="12" t="s">
        <v>833</v>
      </c>
      <c r="N172" s="14" t="s">
        <v>138</v>
      </c>
      <c r="O172" s="14"/>
      <c r="P172" s="12" t="s">
        <v>139</v>
      </c>
      <c r="Q172" s="12" t="s">
        <v>834</v>
      </c>
      <c r="R172" s="12" t="s">
        <v>835</v>
      </c>
    </row>
    <row r="173" customFormat="false" ht="30" hidden="false" customHeight="true" outlineLevel="0" collapsed="false">
      <c r="A173" s="12" t="s">
        <v>135</v>
      </c>
      <c r="B173" s="12" t="s">
        <v>831</v>
      </c>
      <c r="C173" s="12" t="n">
        <v>2</v>
      </c>
      <c r="D173" s="13" t="str">
        <f aca="false">HYPERLINK(BaseURL&amp;"/proposals/red-butte-solar-and-storage-pg2acp","Red Butte Solar and Storage")</f>
        <v>Red Butte Solar and Storage</v>
      </c>
      <c r="E173" s="12" t="s">
        <v>465</v>
      </c>
      <c r="F173" s="12" t="s">
        <v>86</v>
      </c>
      <c r="G173" s="12" t="s">
        <v>466</v>
      </c>
      <c r="H173" s="12" t="s">
        <v>83</v>
      </c>
      <c r="I173" s="14" t="s">
        <v>458</v>
      </c>
      <c r="J173" s="12" t="s">
        <v>832</v>
      </c>
      <c r="K173" s="12" t="s">
        <v>460</v>
      </c>
      <c r="L173" s="12" t="s">
        <v>479</v>
      </c>
      <c r="M173" s="12" t="s">
        <v>833</v>
      </c>
      <c r="N173" s="14" t="s">
        <v>138</v>
      </c>
      <c r="O173" s="14"/>
      <c r="P173" s="12" t="s">
        <v>139</v>
      </c>
      <c r="Q173" s="12" t="s">
        <v>836</v>
      </c>
      <c r="R173" s="12" t="s">
        <v>837</v>
      </c>
    </row>
    <row r="174" customFormat="false" ht="30" hidden="false" customHeight="true" outlineLevel="0" collapsed="false">
      <c r="A174" s="12" t="s">
        <v>142</v>
      </c>
      <c r="B174" s="12" t="s">
        <v>838</v>
      </c>
      <c r="C174" s="12" t="n">
        <v>1</v>
      </c>
      <c r="D174" s="13" t="str">
        <f aca="false">HYPERLINK(BaseURL&amp;"/proposals/bellefield-2-solar-energy-storage-farm-rq9hmq","Bellefield 2 Solar &amp; Energy Storage Farm")</f>
        <v>Bellefield 2 Solar &amp; Energy Storage Farm</v>
      </c>
      <c r="E174" s="12" t="s">
        <v>39</v>
      </c>
      <c r="F174" s="12" t="s">
        <v>86</v>
      </c>
      <c r="G174" s="12" t="s">
        <v>457</v>
      </c>
      <c r="H174" s="12" t="s">
        <v>83</v>
      </c>
      <c r="I174" s="14" t="s">
        <v>458</v>
      </c>
      <c r="J174" s="12" t="s">
        <v>839</v>
      </c>
      <c r="K174" s="12" t="s">
        <v>467</v>
      </c>
      <c r="L174" s="12" t="s">
        <v>461</v>
      </c>
      <c r="M174" s="12" t="s">
        <v>472</v>
      </c>
      <c r="N174" s="14" t="s">
        <v>145</v>
      </c>
      <c r="O174" s="14"/>
      <c r="P174" s="12" t="s">
        <v>146</v>
      </c>
      <c r="Q174" s="12" t="s">
        <v>840</v>
      </c>
      <c r="R174" s="12" t="s">
        <v>841</v>
      </c>
    </row>
    <row r="175" customFormat="false" ht="30" hidden="false" customHeight="true" outlineLevel="0" collapsed="false">
      <c r="A175" s="12" t="s">
        <v>142</v>
      </c>
      <c r="B175" s="12" t="s">
        <v>838</v>
      </c>
      <c r="C175" s="12" t="n">
        <v>2</v>
      </c>
      <c r="D175" s="13" t="str">
        <f aca="false">HYPERLINK(BaseURL&amp;"/proposals/bellefield-2-solar-energy-storage-farm-90s5ff","Bellefield 2 Solar &amp; Energy Storage Farm")</f>
        <v>Bellefield 2 Solar &amp; Energy Storage Farm</v>
      </c>
      <c r="E175" s="12" t="s">
        <v>465</v>
      </c>
      <c r="F175" s="12" t="s">
        <v>86</v>
      </c>
      <c r="G175" s="12" t="s">
        <v>466</v>
      </c>
      <c r="H175" s="12" t="s">
        <v>83</v>
      </c>
      <c r="I175" s="14" t="s">
        <v>458</v>
      </c>
      <c r="J175" s="12" t="s">
        <v>839</v>
      </c>
      <c r="K175" s="12" t="s">
        <v>460</v>
      </c>
      <c r="L175" s="12" t="s">
        <v>461</v>
      </c>
      <c r="M175" s="12" t="s">
        <v>472</v>
      </c>
      <c r="N175" s="14" t="s">
        <v>145</v>
      </c>
      <c r="O175" s="14"/>
      <c r="P175" s="12" t="s">
        <v>146</v>
      </c>
      <c r="Q175" s="12" t="s">
        <v>842</v>
      </c>
      <c r="R175" s="12" t="s">
        <v>843</v>
      </c>
    </row>
    <row r="176" customFormat="false" ht="30" hidden="false" customHeight="true" outlineLevel="0" collapsed="false">
      <c r="A176" s="12" t="s">
        <v>149</v>
      </c>
      <c r="B176" s="12" t="s">
        <v>844</v>
      </c>
      <c r="C176" s="12" t="n">
        <v>1</v>
      </c>
      <c r="D176" s="13" t="str">
        <f aca="false">HYPERLINK(BaseURL&amp;"/proposals/randall-lane-solar-8q0n7d","Randall Lane Solar")</f>
        <v>Randall Lane Solar</v>
      </c>
      <c r="E176" s="12" t="s">
        <v>39</v>
      </c>
      <c r="F176" s="12" t="s">
        <v>86</v>
      </c>
      <c r="G176" s="12" t="s">
        <v>457</v>
      </c>
      <c r="H176" s="12" t="s">
        <v>83</v>
      </c>
      <c r="I176" s="14" t="s">
        <v>458</v>
      </c>
      <c r="J176" s="12" t="s">
        <v>845</v>
      </c>
      <c r="K176" s="12" t="s">
        <v>460</v>
      </c>
      <c r="L176" s="12" t="s">
        <v>479</v>
      </c>
      <c r="M176" s="12" t="s">
        <v>496</v>
      </c>
      <c r="N176" s="14" t="s">
        <v>152</v>
      </c>
      <c r="O176" s="14"/>
      <c r="P176" s="12" t="s">
        <v>153</v>
      </c>
      <c r="Q176" s="12" t="s">
        <v>846</v>
      </c>
      <c r="R176" s="12" t="s">
        <v>847</v>
      </c>
    </row>
    <row r="177" customFormat="false" ht="30" hidden="false" customHeight="true" outlineLevel="0" collapsed="false">
      <c r="A177" s="12" t="s">
        <v>149</v>
      </c>
      <c r="B177" s="12" t="s">
        <v>844</v>
      </c>
      <c r="C177" s="12" t="n">
        <v>2</v>
      </c>
      <c r="D177" s="13" t="str">
        <f aca="false">HYPERLINK(BaseURL&amp;"/proposals/randall-lane-solar-npnwwp","Randall Lane Solar")</f>
        <v>Randall Lane Solar</v>
      </c>
      <c r="E177" s="12" t="s">
        <v>465</v>
      </c>
      <c r="F177" s="12" t="s">
        <v>86</v>
      </c>
      <c r="G177" s="12" t="s">
        <v>466</v>
      </c>
      <c r="H177" s="12" t="s">
        <v>83</v>
      </c>
      <c r="I177" s="14" t="s">
        <v>458</v>
      </c>
      <c r="J177" s="12" t="s">
        <v>845</v>
      </c>
      <c r="K177" s="12" t="s">
        <v>467</v>
      </c>
      <c r="L177" s="12" t="s">
        <v>479</v>
      </c>
      <c r="M177" s="12" t="s">
        <v>496</v>
      </c>
      <c r="N177" s="14" t="s">
        <v>152</v>
      </c>
      <c r="O177" s="14"/>
      <c r="P177" s="12" t="s">
        <v>153</v>
      </c>
      <c r="Q177" s="12" t="s">
        <v>848</v>
      </c>
      <c r="R177" s="12" t="s">
        <v>849</v>
      </c>
    </row>
    <row r="178" customFormat="false" ht="30" hidden="false" customHeight="true" outlineLevel="0" collapsed="false">
      <c r="A178" s="12" t="s">
        <v>156</v>
      </c>
      <c r="B178" s="12" t="s">
        <v>850</v>
      </c>
      <c r="C178" s="12" t="n">
        <v>1</v>
      </c>
      <c r="D178" s="13" t="str">
        <f aca="false">HYPERLINK(BaseURL&amp;"/proposals/traceview-advanced-power-station-ffnc4z","Traceview Advanced Power Station")</f>
        <v>Traceview Advanced Power Station</v>
      </c>
      <c r="E178" s="12" t="s">
        <v>39</v>
      </c>
      <c r="F178" s="12" t="s">
        <v>86</v>
      </c>
      <c r="G178" s="12" t="s">
        <v>457</v>
      </c>
      <c r="H178" s="12" t="s">
        <v>83</v>
      </c>
      <c r="I178" s="14" t="s">
        <v>458</v>
      </c>
      <c r="J178" s="12" t="s">
        <v>851</v>
      </c>
      <c r="K178" s="12" t="s">
        <v>510</v>
      </c>
      <c r="L178" s="12" t="s">
        <v>461</v>
      </c>
      <c r="M178" s="12" t="s">
        <v>852</v>
      </c>
      <c r="N178" s="14" t="s">
        <v>159</v>
      </c>
      <c r="O178" s="14"/>
      <c r="P178" s="12" t="s">
        <v>160</v>
      </c>
      <c r="Q178" s="12" t="s">
        <v>853</v>
      </c>
      <c r="R178" s="12" t="s">
        <v>854</v>
      </c>
    </row>
    <row r="179" customFormat="false" ht="30" hidden="false" customHeight="true" outlineLevel="0" collapsed="false">
      <c r="A179" s="12" t="s">
        <v>156</v>
      </c>
      <c r="B179" s="12" t="s">
        <v>850</v>
      </c>
      <c r="C179" s="12" t="n">
        <v>2</v>
      </c>
      <c r="D179" s="13" t="str">
        <f aca="false">HYPERLINK(BaseURL&amp;"/proposals/traceview-advanced-power-station-tmwhj4","Traceview Advanced Power Station")</f>
        <v>Traceview Advanced Power Station</v>
      </c>
      <c r="E179" s="12" t="s">
        <v>465</v>
      </c>
      <c r="F179" s="12" t="s">
        <v>86</v>
      </c>
      <c r="G179" s="12" t="s">
        <v>466</v>
      </c>
      <c r="H179" s="12" t="s">
        <v>83</v>
      </c>
      <c r="I179" s="14" t="s">
        <v>458</v>
      </c>
      <c r="J179" s="12" t="s">
        <v>855</v>
      </c>
      <c r="K179" s="12" t="s">
        <v>510</v>
      </c>
      <c r="L179" s="12" t="s">
        <v>461</v>
      </c>
      <c r="M179" s="12" t="s">
        <v>852</v>
      </c>
      <c r="N179" s="14" t="s">
        <v>159</v>
      </c>
      <c r="O179" s="14"/>
      <c r="P179" s="12" t="s">
        <v>160</v>
      </c>
      <c r="Q179" s="12" t="s">
        <v>856</v>
      </c>
      <c r="R179" s="12" t="s">
        <v>857</v>
      </c>
    </row>
    <row r="180" customFormat="false" ht="30" hidden="false" customHeight="true" outlineLevel="0" collapsed="false">
      <c r="A180" s="12" t="s">
        <v>163</v>
      </c>
      <c r="B180" s="12" t="s">
        <v>858</v>
      </c>
      <c r="C180" s="12" t="n">
        <v>1</v>
      </c>
      <c r="D180" s="13" t="str">
        <f aca="false">HYPERLINK(BaseURL&amp;"/proposals/mcgrau-ford-battery-storage-facility-07qx83","McGrau Ford Battery Storage Facility")</f>
        <v>McGrau Ford Battery Storage Facility</v>
      </c>
      <c r="E180" s="12" t="s">
        <v>39</v>
      </c>
      <c r="F180" s="12" t="s">
        <v>86</v>
      </c>
      <c r="G180" s="12" t="s">
        <v>457</v>
      </c>
      <c r="H180" s="12" t="s">
        <v>83</v>
      </c>
      <c r="I180" s="14" t="s">
        <v>458</v>
      </c>
      <c r="J180" s="12" t="s">
        <v>859</v>
      </c>
      <c r="K180" s="12" t="s">
        <v>460</v>
      </c>
      <c r="L180" s="12" t="s">
        <v>461</v>
      </c>
      <c r="M180" s="12" t="s">
        <v>860</v>
      </c>
      <c r="N180" s="14" t="s">
        <v>166</v>
      </c>
      <c r="O180" s="14"/>
      <c r="P180" s="12" t="s">
        <v>167</v>
      </c>
      <c r="Q180" s="12" t="s">
        <v>861</v>
      </c>
      <c r="R180" s="12" t="s">
        <v>862</v>
      </c>
    </row>
    <row r="181" customFormat="false" ht="30" hidden="false" customHeight="true" outlineLevel="0" collapsed="false">
      <c r="A181" s="12" t="s">
        <v>163</v>
      </c>
      <c r="B181" s="12" t="s">
        <v>858</v>
      </c>
      <c r="C181" s="12" t="n">
        <v>2</v>
      </c>
      <c r="D181" s="13" t="str">
        <f aca="false">HYPERLINK(BaseURL&amp;"/proposals/mcgrau-ford-battery-storage-facility-vfrmbn","McGrau Ford Battery Storage Facility")</f>
        <v>McGrau Ford Battery Storage Facility</v>
      </c>
      <c r="E181" s="12" t="s">
        <v>465</v>
      </c>
      <c r="F181" s="12" t="s">
        <v>86</v>
      </c>
      <c r="G181" s="12" t="s">
        <v>466</v>
      </c>
      <c r="H181" s="12" t="s">
        <v>83</v>
      </c>
      <c r="I181" s="14" t="s">
        <v>458</v>
      </c>
      <c r="J181" s="12" t="s">
        <v>859</v>
      </c>
      <c r="K181" s="12" t="s">
        <v>460</v>
      </c>
      <c r="L181" s="12" t="s">
        <v>461</v>
      </c>
      <c r="M181" s="12" t="s">
        <v>860</v>
      </c>
      <c r="N181" s="14" t="s">
        <v>166</v>
      </c>
      <c r="O181" s="14"/>
      <c r="P181" s="12" t="s">
        <v>167</v>
      </c>
      <c r="Q181" s="12" t="s">
        <v>863</v>
      </c>
      <c r="R181" s="12" t="s">
        <v>864</v>
      </c>
    </row>
    <row r="182" customFormat="false" ht="30" hidden="false" customHeight="true" outlineLevel="0" collapsed="false">
      <c r="A182" s="12" t="s">
        <v>170</v>
      </c>
      <c r="B182" s="12" t="s">
        <v>865</v>
      </c>
      <c r="C182" s="12" t="n">
        <v>1</v>
      </c>
      <c r="D182" s="13" t="str">
        <f aca="false">HYPERLINK(BaseURL&amp;"/proposals/horseshoe-lake-enh68z","Horseshoe Lake")</f>
        <v>Horseshoe Lake</v>
      </c>
      <c r="E182" s="12" t="s">
        <v>39</v>
      </c>
      <c r="F182" s="12" t="s">
        <v>86</v>
      </c>
      <c r="G182" s="12" t="s">
        <v>457</v>
      </c>
      <c r="H182" s="12" t="s">
        <v>83</v>
      </c>
      <c r="I182" s="14" t="s">
        <v>458</v>
      </c>
      <c r="J182" s="12" t="s">
        <v>866</v>
      </c>
      <c r="K182" s="12" t="s">
        <v>487</v>
      </c>
      <c r="L182" s="12" t="s">
        <v>461</v>
      </c>
      <c r="M182" s="12" t="s">
        <v>867</v>
      </c>
      <c r="N182" s="14" t="s">
        <v>173</v>
      </c>
      <c r="O182" s="14"/>
      <c r="P182" s="12" t="s">
        <v>174</v>
      </c>
      <c r="Q182" s="12" t="s">
        <v>868</v>
      </c>
      <c r="R182" s="12" t="s">
        <v>869</v>
      </c>
    </row>
    <row r="183" customFormat="false" ht="30" hidden="false" customHeight="true" outlineLevel="0" collapsed="false">
      <c r="A183" s="12" t="s">
        <v>170</v>
      </c>
      <c r="B183" s="12" t="s">
        <v>865</v>
      </c>
      <c r="C183" s="12" t="n">
        <v>2</v>
      </c>
      <c r="D183" s="13" t="str">
        <f aca="false">HYPERLINK(BaseURL&amp;"/proposals/horseshoe-lake-kntwey","Horseshoe Lake")</f>
        <v>Horseshoe Lake</v>
      </c>
      <c r="E183" s="12" t="s">
        <v>465</v>
      </c>
      <c r="F183" s="12" t="s">
        <v>86</v>
      </c>
      <c r="G183" s="12" t="s">
        <v>466</v>
      </c>
      <c r="H183" s="12" t="s">
        <v>83</v>
      </c>
      <c r="I183" s="14" t="s">
        <v>458</v>
      </c>
      <c r="J183" s="12" t="s">
        <v>866</v>
      </c>
      <c r="K183" s="12" t="s">
        <v>487</v>
      </c>
      <c r="L183" s="12" t="s">
        <v>461</v>
      </c>
      <c r="M183" s="12" t="s">
        <v>867</v>
      </c>
      <c r="N183" s="14" t="s">
        <v>173</v>
      </c>
      <c r="O183" s="14"/>
      <c r="P183" s="12" t="s">
        <v>174</v>
      </c>
      <c r="Q183" s="12" t="s">
        <v>870</v>
      </c>
      <c r="R183" s="12" t="s">
        <v>871</v>
      </c>
    </row>
    <row r="184" customFormat="false" ht="30" hidden="false" customHeight="true" outlineLevel="0" collapsed="false">
      <c r="A184" s="12" t="s">
        <v>170</v>
      </c>
      <c r="B184" s="12" t="s">
        <v>865</v>
      </c>
      <c r="C184" s="12" t="n">
        <v>3</v>
      </c>
      <c r="D184" s="13" t="str">
        <f aca="false">HYPERLINK(BaseURL&amp;"/proposals/horseshoe-lake-2cpb2k","Horseshoe Lake")</f>
        <v>Horseshoe Lake</v>
      </c>
      <c r="E184" s="12" t="s">
        <v>465</v>
      </c>
      <c r="F184" s="12" t="s">
        <v>86</v>
      </c>
      <c r="G184" s="12" t="s">
        <v>466</v>
      </c>
      <c r="H184" s="12" t="s">
        <v>83</v>
      </c>
      <c r="I184" s="14" t="s">
        <v>458</v>
      </c>
      <c r="J184" s="12" t="s">
        <v>866</v>
      </c>
      <c r="K184" s="12" t="s">
        <v>487</v>
      </c>
      <c r="L184" s="12" t="s">
        <v>796</v>
      </c>
      <c r="M184" s="12" t="s">
        <v>867</v>
      </c>
      <c r="N184" s="14" t="s">
        <v>173</v>
      </c>
      <c r="O184" s="14"/>
      <c r="P184" s="12" t="s">
        <v>174</v>
      </c>
      <c r="Q184" s="12" t="s">
        <v>872</v>
      </c>
      <c r="R184" s="12" t="s">
        <v>873</v>
      </c>
    </row>
    <row r="185" customFormat="false" ht="30" hidden="false" customHeight="true" outlineLevel="0" collapsed="false">
      <c r="A185" s="12" t="s">
        <v>170</v>
      </c>
      <c r="B185" s="12" t="s">
        <v>865</v>
      </c>
      <c r="C185" s="12" t="n">
        <v>4</v>
      </c>
      <c r="D185" s="13" t="str">
        <f aca="false">HYPERLINK(BaseURL&amp;"/proposals/horseshoe-lake-9aba6t","Horseshoe Lake")</f>
        <v>Horseshoe Lake</v>
      </c>
      <c r="E185" s="12" t="s">
        <v>465</v>
      </c>
      <c r="F185" s="12" t="s">
        <v>86</v>
      </c>
      <c r="G185" s="12" t="s">
        <v>466</v>
      </c>
      <c r="H185" s="12" t="s">
        <v>83</v>
      </c>
      <c r="I185" s="14" t="s">
        <v>458</v>
      </c>
      <c r="J185" s="12" t="s">
        <v>866</v>
      </c>
      <c r="K185" s="12" t="s">
        <v>487</v>
      </c>
      <c r="L185" s="12" t="s">
        <v>796</v>
      </c>
      <c r="M185" s="12" t="s">
        <v>867</v>
      </c>
      <c r="N185" s="14" t="s">
        <v>173</v>
      </c>
      <c r="O185" s="14"/>
      <c r="P185" s="12" t="s">
        <v>174</v>
      </c>
      <c r="Q185" s="12" t="s">
        <v>874</v>
      </c>
      <c r="R185" s="12" t="s">
        <v>875</v>
      </c>
    </row>
    <row r="186" customFormat="false" ht="30" hidden="false" customHeight="true" outlineLevel="0" collapsed="false">
      <c r="A186" s="12" t="s">
        <v>177</v>
      </c>
      <c r="B186" s="12" t="s">
        <v>876</v>
      </c>
      <c r="C186" s="12" t="n">
        <v>1</v>
      </c>
      <c r="D186" s="13" t="str">
        <f aca="false">HYPERLINK(BaseURL&amp;"/proposals/dutchman-solar-generation-and-bess-as4p5v","Dutchman Solar generation and BESS")</f>
        <v>Dutchman Solar generation and BESS</v>
      </c>
      <c r="E186" s="12" t="s">
        <v>39</v>
      </c>
      <c r="F186" s="12" t="s">
        <v>86</v>
      </c>
      <c r="G186" s="12" t="s">
        <v>457</v>
      </c>
      <c r="H186" s="12" t="s">
        <v>83</v>
      </c>
      <c r="I186" s="14" t="s">
        <v>458</v>
      </c>
      <c r="J186" s="12" t="s">
        <v>877</v>
      </c>
      <c r="K186" s="12" t="s">
        <v>467</v>
      </c>
      <c r="L186" s="12" t="s">
        <v>479</v>
      </c>
      <c r="M186" s="12" t="s">
        <v>878</v>
      </c>
      <c r="N186" s="14" t="s">
        <v>180</v>
      </c>
      <c r="O186" s="14"/>
      <c r="P186" s="12" t="s">
        <v>181</v>
      </c>
      <c r="Q186" s="12" t="s">
        <v>879</v>
      </c>
      <c r="R186" s="12" t="s">
        <v>880</v>
      </c>
    </row>
    <row r="187" customFormat="false" ht="30" hidden="false" customHeight="true" outlineLevel="0" collapsed="false">
      <c r="A187" s="12" t="s">
        <v>177</v>
      </c>
      <c r="B187" s="12" t="s">
        <v>876</v>
      </c>
      <c r="C187" s="12" t="n">
        <v>2</v>
      </c>
      <c r="D187" s="13" t="str">
        <f aca="false">HYPERLINK(BaseURL&amp;"/proposals/dutchman-solar-generation-and-bess-yfr9zj","Dutchman Solar generation and BESS")</f>
        <v>Dutchman Solar generation and BESS</v>
      </c>
      <c r="E187" s="12" t="s">
        <v>465</v>
      </c>
      <c r="F187" s="12" t="s">
        <v>86</v>
      </c>
      <c r="G187" s="12" t="s">
        <v>466</v>
      </c>
      <c r="H187" s="12" t="s">
        <v>83</v>
      </c>
      <c r="I187" s="14" t="s">
        <v>458</v>
      </c>
      <c r="J187" s="12" t="s">
        <v>877</v>
      </c>
      <c r="K187" s="12" t="s">
        <v>460</v>
      </c>
      <c r="L187" s="12" t="s">
        <v>479</v>
      </c>
      <c r="M187" s="12" t="s">
        <v>878</v>
      </c>
      <c r="N187" s="14" t="s">
        <v>180</v>
      </c>
      <c r="O187" s="14"/>
      <c r="P187" s="12" t="s">
        <v>181</v>
      </c>
      <c r="Q187" s="12" t="s">
        <v>881</v>
      </c>
      <c r="R187" s="12" t="s">
        <v>882</v>
      </c>
    </row>
    <row r="188" customFormat="false" ht="30" hidden="false" customHeight="true" outlineLevel="0" collapsed="false">
      <c r="A188" s="12" t="s">
        <v>184</v>
      </c>
      <c r="B188" s="12" t="s">
        <v>883</v>
      </c>
      <c r="C188" s="12" t="n">
        <v>1</v>
      </c>
      <c r="D188" s="13" t="str">
        <f aca="false">HYPERLINK(BaseURL&amp;"/proposals/homer-city-generating-station-5q6471","Homer City Generating Station")</f>
        <v>Homer City Generating Station</v>
      </c>
      <c r="E188" s="12" t="s">
        <v>39</v>
      </c>
      <c r="F188" s="12" t="s">
        <v>86</v>
      </c>
      <c r="G188" s="12" t="s">
        <v>457</v>
      </c>
      <c r="H188" s="12" t="s">
        <v>83</v>
      </c>
      <c r="I188" s="14" t="s">
        <v>458</v>
      </c>
      <c r="J188" s="12" t="s">
        <v>884</v>
      </c>
      <c r="K188" s="12" t="s">
        <v>510</v>
      </c>
      <c r="L188" s="12" t="s">
        <v>471</v>
      </c>
      <c r="M188" s="12" t="s">
        <v>885</v>
      </c>
      <c r="N188" s="14" t="s">
        <v>187</v>
      </c>
      <c r="O188" s="14"/>
      <c r="P188" s="12" t="s">
        <v>188</v>
      </c>
      <c r="Q188" s="12" t="s">
        <v>886</v>
      </c>
      <c r="R188" s="12" t="s">
        <v>887</v>
      </c>
    </row>
    <row r="189" customFormat="false" ht="30" hidden="false" customHeight="true" outlineLevel="0" collapsed="false">
      <c r="A189" s="12" t="s">
        <v>184</v>
      </c>
      <c r="B189" s="12" t="s">
        <v>883</v>
      </c>
      <c r="C189" s="12" t="n">
        <v>2</v>
      </c>
      <c r="D189" s="13" t="str">
        <f aca="false">HYPERLINK(BaseURL&amp;"/proposals/homer-city-generating-station-1x7rhy","Homer City Generating Station")</f>
        <v>Homer City Generating Station</v>
      </c>
      <c r="E189" s="12" t="s">
        <v>465</v>
      </c>
      <c r="F189" s="12" t="s">
        <v>86</v>
      </c>
      <c r="G189" s="12" t="s">
        <v>466</v>
      </c>
      <c r="H189" s="12" t="s">
        <v>83</v>
      </c>
      <c r="I189" s="14" t="s">
        <v>458</v>
      </c>
      <c r="J189" s="12" t="s">
        <v>884</v>
      </c>
      <c r="K189" s="12" t="s">
        <v>510</v>
      </c>
      <c r="L189" s="12" t="s">
        <v>471</v>
      </c>
      <c r="M189" s="12" t="s">
        <v>885</v>
      </c>
      <c r="N189" s="14" t="s">
        <v>187</v>
      </c>
      <c r="O189" s="14"/>
      <c r="P189" s="12" t="s">
        <v>188</v>
      </c>
      <c r="Q189" s="12" t="s">
        <v>888</v>
      </c>
      <c r="R189" s="12" t="s">
        <v>889</v>
      </c>
    </row>
    <row r="190" customFormat="false" ht="30" hidden="false" customHeight="true" outlineLevel="0" collapsed="false">
      <c r="A190" s="12" t="s">
        <v>184</v>
      </c>
      <c r="B190" s="12" t="s">
        <v>883</v>
      </c>
      <c r="C190" s="12" t="n">
        <v>3</v>
      </c>
      <c r="D190" s="13" t="str">
        <f aca="false">HYPERLINK(BaseURL&amp;"/proposals/homer-city-generating-station-vher3v","Homer City Generating Station")</f>
        <v>Homer City Generating Station</v>
      </c>
      <c r="E190" s="12" t="s">
        <v>465</v>
      </c>
      <c r="F190" s="12" t="s">
        <v>86</v>
      </c>
      <c r="G190" s="12" t="s">
        <v>466</v>
      </c>
      <c r="H190" s="12" t="s">
        <v>83</v>
      </c>
      <c r="I190" s="14" t="s">
        <v>458</v>
      </c>
      <c r="J190" s="12" t="s">
        <v>884</v>
      </c>
      <c r="K190" s="12" t="s">
        <v>510</v>
      </c>
      <c r="L190" s="12" t="s">
        <v>471</v>
      </c>
      <c r="M190" s="12" t="s">
        <v>885</v>
      </c>
      <c r="N190" s="14" t="s">
        <v>187</v>
      </c>
      <c r="O190" s="14"/>
      <c r="P190" s="12" t="s">
        <v>188</v>
      </c>
      <c r="Q190" s="12" t="s">
        <v>890</v>
      </c>
      <c r="R190" s="12" t="s">
        <v>891</v>
      </c>
    </row>
    <row r="191" customFormat="false" ht="30" hidden="false" customHeight="true" outlineLevel="0" collapsed="false">
      <c r="A191" s="12" t="s">
        <v>184</v>
      </c>
      <c r="B191" s="12" t="s">
        <v>883</v>
      </c>
      <c r="C191" s="12" t="n">
        <v>4</v>
      </c>
      <c r="D191" s="13" t="str">
        <f aca="false">HYPERLINK(BaseURL&amp;"/proposals/homer-city-generating-station-tnta8n","Homer City Generating Station")</f>
        <v>Homer City Generating Station</v>
      </c>
      <c r="E191" s="12" t="s">
        <v>465</v>
      </c>
      <c r="F191" s="12" t="s">
        <v>86</v>
      </c>
      <c r="G191" s="12" t="s">
        <v>466</v>
      </c>
      <c r="H191" s="12" t="s">
        <v>83</v>
      </c>
      <c r="I191" s="14" t="s">
        <v>458</v>
      </c>
      <c r="J191" s="12" t="s">
        <v>884</v>
      </c>
      <c r="K191" s="12" t="s">
        <v>510</v>
      </c>
      <c r="L191" s="12" t="s">
        <v>471</v>
      </c>
      <c r="M191" s="12" t="s">
        <v>885</v>
      </c>
      <c r="N191" s="14" t="s">
        <v>187</v>
      </c>
      <c r="O191" s="14"/>
      <c r="P191" s="12" t="s">
        <v>188</v>
      </c>
      <c r="Q191" s="12" t="s">
        <v>892</v>
      </c>
      <c r="R191" s="12" t="s">
        <v>893</v>
      </c>
    </row>
    <row r="192" customFormat="false" ht="30" hidden="false" customHeight="true" outlineLevel="0" collapsed="false">
      <c r="A192" s="12" t="s">
        <v>184</v>
      </c>
      <c r="B192" s="12" t="s">
        <v>883</v>
      </c>
      <c r="C192" s="12" t="n">
        <v>5</v>
      </c>
      <c r="D192" s="13" t="str">
        <f aca="false">HYPERLINK(BaseURL&amp;"/proposals/homer-city-generating-station-v8d3hd","Homer City Generating Station")</f>
        <v>Homer City Generating Station</v>
      </c>
      <c r="E192" s="12" t="s">
        <v>465</v>
      </c>
      <c r="F192" s="12" t="s">
        <v>86</v>
      </c>
      <c r="G192" s="12" t="s">
        <v>466</v>
      </c>
      <c r="H192" s="12" t="s">
        <v>83</v>
      </c>
      <c r="I192" s="14" t="s">
        <v>458</v>
      </c>
      <c r="J192" s="12" t="s">
        <v>884</v>
      </c>
      <c r="K192" s="12" t="s">
        <v>510</v>
      </c>
      <c r="L192" s="12" t="s">
        <v>471</v>
      </c>
      <c r="M192" s="12" t="s">
        <v>885</v>
      </c>
      <c r="N192" s="14" t="s">
        <v>187</v>
      </c>
      <c r="O192" s="14"/>
      <c r="P192" s="12" t="s">
        <v>188</v>
      </c>
      <c r="Q192" s="12" t="s">
        <v>894</v>
      </c>
      <c r="R192" s="12" t="s">
        <v>895</v>
      </c>
    </row>
    <row r="193" customFormat="false" ht="30" hidden="false" customHeight="true" outlineLevel="0" collapsed="false">
      <c r="A193" s="12" t="s">
        <v>184</v>
      </c>
      <c r="B193" s="12" t="s">
        <v>883</v>
      </c>
      <c r="C193" s="12" t="n">
        <v>6</v>
      </c>
      <c r="D193" s="13" t="str">
        <f aca="false">HYPERLINK(BaseURL&amp;"/proposals/homer-city-generating-station-qej4wn","Homer City Generating Station")</f>
        <v>Homer City Generating Station</v>
      </c>
      <c r="E193" s="12" t="s">
        <v>465</v>
      </c>
      <c r="F193" s="12" t="s">
        <v>86</v>
      </c>
      <c r="G193" s="12" t="s">
        <v>466</v>
      </c>
      <c r="H193" s="12" t="s">
        <v>83</v>
      </c>
      <c r="I193" s="14" t="s">
        <v>458</v>
      </c>
      <c r="J193" s="12" t="s">
        <v>884</v>
      </c>
      <c r="K193" s="12" t="s">
        <v>510</v>
      </c>
      <c r="L193" s="12" t="s">
        <v>471</v>
      </c>
      <c r="M193" s="12" t="s">
        <v>885</v>
      </c>
      <c r="N193" s="14" t="s">
        <v>187</v>
      </c>
      <c r="O193" s="14"/>
      <c r="P193" s="12" t="s">
        <v>188</v>
      </c>
      <c r="Q193" s="12" t="s">
        <v>896</v>
      </c>
      <c r="R193" s="12" t="s">
        <v>897</v>
      </c>
    </row>
    <row r="194" customFormat="false" ht="30" hidden="false" customHeight="true" outlineLevel="0" collapsed="false">
      <c r="A194" s="12" t="s">
        <v>184</v>
      </c>
      <c r="B194" s="12" t="s">
        <v>883</v>
      </c>
      <c r="C194" s="12" t="n">
        <v>7</v>
      </c>
      <c r="D194" s="13" t="str">
        <f aca="false">HYPERLINK(BaseURL&amp;"/proposals/homer-city-generating-station-t9f1vx","Homer City Generating Station")</f>
        <v>Homer City Generating Station</v>
      </c>
      <c r="E194" s="12" t="s">
        <v>465</v>
      </c>
      <c r="F194" s="12" t="s">
        <v>86</v>
      </c>
      <c r="G194" s="12" t="s">
        <v>466</v>
      </c>
      <c r="H194" s="12" t="s">
        <v>83</v>
      </c>
      <c r="I194" s="14" t="s">
        <v>458</v>
      </c>
      <c r="J194" s="12" t="s">
        <v>884</v>
      </c>
      <c r="K194" s="12" t="s">
        <v>510</v>
      </c>
      <c r="L194" s="12" t="s">
        <v>471</v>
      </c>
      <c r="M194" s="12" t="s">
        <v>885</v>
      </c>
      <c r="N194" s="14" t="s">
        <v>187</v>
      </c>
      <c r="O194" s="14"/>
      <c r="P194" s="12" t="s">
        <v>188</v>
      </c>
      <c r="Q194" s="12" t="s">
        <v>898</v>
      </c>
      <c r="R194" s="12" t="s">
        <v>899</v>
      </c>
    </row>
    <row r="195" customFormat="false" ht="30" hidden="false" customHeight="true" outlineLevel="0" collapsed="false">
      <c r="A195" s="12" t="s">
        <v>184</v>
      </c>
      <c r="B195" s="12" t="s">
        <v>883</v>
      </c>
      <c r="C195" s="12" t="n">
        <v>8</v>
      </c>
      <c r="D195" s="13" t="str">
        <f aca="false">HYPERLINK(BaseURL&amp;"/proposals/homer-city-generating-station-8z5gkp","Homer City Generating Station")</f>
        <v>Homer City Generating Station</v>
      </c>
      <c r="E195" s="12" t="s">
        <v>465</v>
      </c>
      <c r="F195" s="12" t="s">
        <v>86</v>
      </c>
      <c r="G195" s="12" t="s">
        <v>466</v>
      </c>
      <c r="H195" s="12" t="s">
        <v>83</v>
      </c>
      <c r="I195" s="14" t="s">
        <v>458</v>
      </c>
      <c r="J195" s="12" t="s">
        <v>900</v>
      </c>
      <c r="K195" s="12" t="s">
        <v>510</v>
      </c>
      <c r="L195" s="12" t="s">
        <v>471</v>
      </c>
      <c r="M195" s="12" t="s">
        <v>885</v>
      </c>
      <c r="N195" s="14" t="s">
        <v>187</v>
      </c>
      <c r="O195" s="14"/>
      <c r="P195" s="12" t="s">
        <v>188</v>
      </c>
      <c r="Q195" s="12" t="s">
        <v>901</v>
      </c>
      <c r="R195" s="12" t="s">
        <v>902</v>
      </c>
    </row>
    <row r="196" customFormat="false" ht="30" hidden="false" customHeight="true" outlineLevel="0" collapsed="false">
      <c r="A196" s="12" t="s">
        <v>184</v>
      </c>
      <c r="B196" s="12" t="s">
        <v>883</v>
      </c>
      <c r="C196" s="12" t="n">
        <v>9</v>
      </c>
      <c r="D196" s="13" t="str">
        <f aca="false">HYPERLINK(BaseURL&amp;"/proposals/homer-city-generating-station-5affzk","Homer City Generating Station")</f>
        <v>Homer City Generating Station</v>
      </c>
      <c r="E196" s="12" t="s">
        <v>465</v>
      </c>
      <c r="F196" s="12" t="s">
        <v>86</v>
      </c>
      <c r="G196" s="12" t="s">
        <v>466</v>
      </c>
      <c r="H196" s="12" t="s">
        <v>83</v>
      </c>
      <c r="I196" s="14" t="s">
        <v>458</v>
      </c>
      <c r="J196" s="12" t="s">
        <v>900</v>
      </c>
      <c r="K196" s="12" t="s">
        <v>510</v>
      </c>
      <c r="L196" s="12" t="s">
        <v>471</v>
      </c>
      <c r="M196" s="12" t="s">
        <v>885</v>
      </c>
      <c r="N196" s="14" t="s">
        <v>187</v>
      </c>
      <c r="O196" s="14"/>
      <c r="P196" s="12" t="s">
        <v>188</v>
      </c>
      <c r="Q196" s="12" t="s">
        <v>903</v>
      </c>
      <c r="R196" s="12" t="s">
        <v>904</v>
      </c>
    </row>
    <row r="197" customFormat="false" ht="30" hidden="false" customHeight="true" outlineLevel="0" collapsed="false">
      <c r="A197" s="12" t="s">
        <v>184</v>
      </c>
      <c r="B197" s="12" t="s">
        <v>883</v>
      </c>
      <c r="C197" s="12" t="n">
        <v>10</v>
      </c>
      <c r="D197" s="13" t="str">
        <f aca="false">HYPERLINK(BaseURL&amp;"/proposals/homer-city-generating-station-fegdsj","Homer City Generating Station")</f>
        <v>Homer City Generating Station</v>
      </c>
      <c r="E197" s="12" t="s">
        <v>465</v>
      </c>
      <c r="F197" s="12" t="s">
        <v>86</v>
      </c>
      <c r="G197" s="12" t="s">
        <v>466</v>
      </c>
      <c r="H197" s="12" t="s">
        <v>83</v>
      </c>
      <c r="I197" s="14" t="s">
        <v>458</v>
      </c>
      <c r="J197" s="12" t="s">
        <v>900</v>
      </c>
      <c r="K197" s="12" t="s">
        <v>510</v>
      </c>
      <c r="L197" s="12" t="s">
        <v>471</v>
      </c>
      <c r="M197" s="12" t="s">
        <v>885</v>
      </c>
      <c r="N197" s="14" t="s">
        <v>187</v>
      </c>
      <c r="O197" s="14"/>
      <c r="P197" s="12" t="s">
        <v>188</v>
      </c>
      <c r="Q197" s="12" t="s">
        <v>905</v>
      </c>
      <c r="R197" s="12" t="s">
        <v>906</v>
      </c>
    </row>
    <row r="198" customFormat="false" ht="30" hidden="false" customHeight="true" outlineLevel="0" collapsed="false">
      <c r="A198" s="12" t="s">
        <v>184</v>
      </c>
      <c r="B198" s="12" t="s">
        <v>883</v>
      </c>
      <c r="C198" s="12" t="n">
        <v>11</v>
      </c>
      <c r="D198" s="13" t="str">
        <f aca="false">HYPERLINK(BaseURL&amp;"/proposals/homer-city-generating-station-jba4h0","Homer City Generating Station")</f>
        <v>Homer City Generating Station</v>
      </c>
      <c r="E198" s="12" t="s">
        <v>465</v>
      </c>
      <c r="F198" s="12" t="s">
        <v>86</v>
      </c>
      <c r="G198" s="12" t="s">
        <v>466</v>
      </c>
      <c r="H198" s="12" t="s">
        <v>83</v>
      </c>
      <c r="I198" s="14" t="s">
        <v>458</v>
      </c>
      <c r="J198" s="12" t="s">
        <v>900</v>
      </c>
      <c r="K198" s="12" t="s">
        <v>510</v>
      </c>
      <c r="L198" s="12" t="s">
        <v>471</v>
      </c>
      <c r="M198" s="12" t="s">
        <v>885</v>
      </c>
      <c r="N198" s="14" t="s">
        <v>187</v>
      </c>
      <c r="O198" s="14"/>
      <c r="P198" s="12" t="s">
        <v>188</v>
      </c>
      <c r="Q198" s="12" t="s">
        <v>907</v>
      </c>
      <c r="R198" s="12" t="s">
        <v>908</v>
      </c>
    </row>
    <row r="199" customFormat="false" ht="30" hidden="false" customHeight="true" outlineLevel="0" collapsed="false">
      <c r="A199" s="12" t="s">
        <v>184</v>
      </c>
      <c r="B199" s="12" t="s">
        <v>883</v>
      </c>
      <c r="C199" s="12" t="n">
        <v>12</v>
      </c>
      <c r="D199" s="13" t="str">
        <f aca="false">HYPERLINK(BaseURL&amp;"/proposals/homer-city-generating-station-s89d2z","Homer City Generating Station")</f>
        <v>Homer City Generating Station</v>
      </c>
      <c r="E199" s="12" t="s">
        <v>465</v>
      </c>
      <c r="F199" s="12" t="s">
        <v>86</v>
      </c>
      <c r="G199" s="12" t="s">
        <v>466</v>
      </c>
      <c r="H199" s="12" t="s">
        <v>83</v>
      </c>
      <c r="I199" s="14" t="s">
        <v>458</v>
      </c>
      <c r="J199" s="12" t="s">
        <v>900</v>
      </c>
      <c r="K199" s="12" t="s">
        <v>510</v>
      </c>
      <c r="L199" s="12" t="s">
        <v>471</v>
      </c>
      <c r="M199" s="12" t="s">
        <v>885</v>
      </c>
      <c r="N199" s="14" t="s">
        <v>187</v>
      </c>
      <c r="O199" s="14"/>
      <c r="P199" s="12" t="s">
        <v>188</v>
      </c>
      <c r="Q199" s="12" t="s">
        <v>909</v>
      </c>
      <c r="R199" s="12" t="s">
        <v>910</v>
      </c>
    </row>
    <row r="200" customFormat="false" ht="30" hidden="false" customHeight="true" outlineLevel="0" collapsed="false">
      <c r="A200" s="12" t="s">
        <v>184</v>
      </c>
      <c r="B200" s="12" t="s">
        <v>883</v>
      </c>
      <c r="C200" s="12" t="n">
        <v>13</v>
      </c>
      <c r="D200" s="13" t="str">
        <f aca="false">HYPERLINK(BaseURL&amp;"/proposals/homer-city-generating-station-wsem67","Homer City Generating Station")</f>
        <v>Homer City Generating Station</v>
      </c>
      <c r="E200" s="12" t="s">
        <v>465</v>
      </c>
      <c r="F200" s="12" t="s">
        <v>86</v>
      </c>
      <c r="G200" s="12" t="s">
        <v>466</v>
      </c>
      <c r="H200" s="12" t="s">
        <v>83</v>
      </c>
      <c r="I200" s="14" t="s">
        <v>458</v>
      </c>
      <c r="J200" s="12" t="s">
        <v>900</v>
      </c>
      <c r="K200" s="12" t="s">
        <v>510</v>
      </c>
      <c r="L200" s="12" t="s">
        <v>471</v>
      </c>
      <c r="M200" s="12" t="s">
        <v>885</v>
      </c>
      <c r="N200" s="14" t="s">
        <v>187</v>
      </c>
      <c r="O200" s="14"/>
      <c r="P200" s="12" t="s">
        <v>188</v>
      </c>
      <c r="Q200" s="12" t="s">
        <v>911</v>
      </c>
      <c r="R200" s="12" t="s">
        <v>912</v>
      </c>
    </row>
    <row r="201" customFormat="false" ht="30" hidden="false" customHeight="true" outlineLevel="0" collapsed="false">
      <c r="A201" s="12" t="s">
        <v>184</v>
      </c>
      <c r="B201" s="12" t="s">
        <v>883</v>
      </c>
      <c r="C201" s="12" t="n">
        <v>14</v>
      </c>
      <c r="D201" s="13" t="str">
        <f aca="false">HYPERLINK(BaseURL&amp;"/proposals/homer-city-generating-station-tm5a18","Homer City Generating Station")</f>
        <v>Homer City Generating Station</v>
      </c>
      <c r="E201" s="12" t="s">
        <v>465</v>
      </c>
      <c r="F201" s="12" t="s">
        <v>86</v>
      </c>
      <c r="G201" s="12" t="s">
        <v>466</v>
      </c>
      <c r="H201" s="12" t="s">
        <v>83</v>
      </c>
      <c r="I201" s="14" t="s">
        <v>458</v>
      </c>
      <c r="J201" s="12" t="s">
        <v>900</v>
      </c>
      <c r="K201" s="12" t="s">
        <v>510</v>
      </c>
      <c r="L201" s="12" t="s">
        <v>471</v>
      </c>
      <c r="M201" s="12" t="s">
        <v>885</v>
      </c>
      <c r="N201" s="14" t="s">
        <v>187</v>
      </c>
      <c r="O201" s="14"/>
      <c r="P201" s="12" t="s">
        <v>188</v>
      </c>
      <c r="Q201" s="12" t="s">
        <v>913</v>
      </c>
      <c r="R201" s="12" t="s">
        <v>914</v>
      </c>
    </row>
    <row r="202" customFormat="false" ht="30" hidden="false" customHeight="true" outlineLevel="0" collapsed="false">
      <c r="A202" s="12" t="s">
        <v>191</v>
      </c>
      <c r="B202" s="12" t="s">
        <v>915</v>
      </c>
      <c r="C202" s="12" t="n">
        <v>1</v>
      </c>
      <c r="D202" s="13" t="str">
        <f aca="false">HYPERLINK(BaseURL&amp;"/proposals/colonel-charles-d-maynard-project-3j8999","Colonel Charles D. Maynard Project")</f>
        <v>Colonel Charles D. Maynard Project</v>
      </c>
      <c r="E202" s="12" t="s">
        <v>39</v>
      </c>
      <c r="F202" s="12" t="s">
        <v>86</v>
      </c>
      <c r="G202" s="12" t="s">
        <v>457</v>
      </c>
      <c r="H202" s="12" t="s">
        <v>83</v>
      </c>
      <c r="I202" s="14" t="s">
        <v>458</v>
      </c>
      <c r="J202" s="12" t="s">
        <v>916</v>
      </c>
      <c r="K202" s="12" t="s">
        <v>917</v>
      </c>
      <c r="L202" s="12" t="s">
        <v>479</v>
      </c>
      <c r="M202" s="12" t="s">
        <v>918</v>
      </c>
      <c r="N202" s="14" t="s">
        <v>194</v>
      </c>
      <c r="O202" s="14"/>
      <c r="P202" s="12" t="s">
        <v>195</v>
      </c>
      <c r="Q202" s="12" t="s">
        <v>919</v>
      </c>
      <c r="R202" s="12" t="s">
        <v>920</v>
      </c>
    </row>
    <row r="203" customFormat="false" ht="30" hidden="false" customHeight="true" outlineLevel="0" collapsed="false">
      <c r="A203" s="12" t="s">
        <v>191</v>
      </c>
      <c r="B203" s="12" t="s">
        <v>915</v>
      </c>
      <c r="C203" s="12" t="n">
        <v>2</v>
      </c>
      <c r="D203" s="13" t="str">
        <f aca="false">HYPERLINK(BaseURL&amp;"/proposals/colonel-charles-d-maynard-project-zas0v7","Colonel Charles D. Maynard Project")</f>
        <v>Colonel Charles D. Maynard Project</v>
      </c>
      <c r="E203" s="12" t="s">
        <v>465</v>
      </c>
      <c r="F203" s="12" t="s">
        <v>86</v>
      </c>
      <c r="G203" s="12" t="s">
        <v>466</v>
      </c>
      <c r="H203" s="12" t="s">
        <v>83</v>
      </c>
      <c r="I203" s="14" t="s">
        <v>458</v>
      </c>
      <c r="J203" s="12" t="s">
        <v>916</v>
      </c>
      <c r="K203" s="12" t="s">
        <v>917</v>
      </c>
      <c r="L203" s="12" t="s">
        <v>479</v>
      </c>
      <c r="M203" s="12" t="s">
        <v>918</v>
      </c>
      <c r="N203" s="14" t="s">
        <v>194</v>
      </c>
      <c r="O203" s="14"/>
      <c r="P203" s="12" t="s">
        <v>195</v>
      </c>
      <c r="Q203" s="12" t="s">
        <v>921</v>
      </c>
      <c r="R203" s="12" t="s">
        <v>922</v>
      </c>
    </row>
    <row r="204" customFormat="false" ht="30" hidden="false" customHeight="true" outlineLevel="0" collapsed="false">
      <c r="A204" s="12" t="s">
        <v>191</v>
      </c>
      <c r="B204" s="12" t="s">
        <v>915</v>
      </c>
      <c r="C204" s="12" t="n">
        <v>3</v>
      </c>
      <c r="D204" s="13" t="str">
        <f aca="false">HYPERLINK(BaseURL&amp;"/proposals/colonel-charles-d-maynard-project-dkqvsm","Colonel Charles D. Maynard Project")</f>
        <v>Colonel Charles D. Maynard Project</v>
      </c>
      <c r="E204" s="12" t="s">
        <v>465</v>
      </c>
      <c r="F204" s="12" t="s">
        <v>86</v>
      </c>
      <c r="G204" s="12" t="s">
        <v>466</v>
      </c>
      <c r="H204" s="12" t="s">
        <v>83</v>
      </c>
      <c r="I204" s="14" t="s">
        <v>458</v>
      </c>
      <c r="J204" s="12" t="s">
        <v>916</v>
      </c>
      <c r="K204" s="12" t="s">
        <v>917</v>
      </c>
      <c r="L204" s="12" t="s">
        <v>479</v>
      </c>
      <c r="M204" s="12" t="s">
        <v>918</v>
      </c>
      <c r="N204" s="14" t="s">
        <v>194</v>
      </c>
      <c r="O204" s="14"/>
      <c r="P204" s="12" t="s">
        <v>195</v>
      </c>
      <c r="Q204" s="12" t="s">
        <v>923</v>
      </c>
      <c r="R204" s="12" t="s">
        <v>924</v>
      </c>
    </row>
    <row r="205" customFormat="false" ht="30" hidden="false" customHeight="true" outlineLevel="0" collapsed="false">
      <c r="A205" s="12" t="s">
        <v>198</v>
      </c>
      <c r="B205" s="12" t="s">
        <v>925</v>
      </c>
      <c r="C205" s="12" t="n">
        <v>1</v>
      </c>
      <c r="D205" s="13" t="str">
        <f aca="false">HYPERLINK(BaseURL&amp;"/proposals/ca-bloomington-2551-s-lilac-avenue-micro-mfvd0z","CA Bloomington 2551 S Lilac Avenue Micro")</f>
        <v>CA Bloomington 2551 S Lilac Avenue Micro</v>
      </c>
      <c r="E205" s="12" t="s">
        <v>39</v>
      </c>
      <c r="F205" s="12" t="s">
        <v>86</v>
      </c>
      <c r="G205" s="12" t="s">
        <v>457</v>
      </c>
      <c r="H205" s="12" t="s">
        <v>83</v>
      </c>
      <c r="I205" s="14" t="s">
        <v>458</v>
      </c>
      <c r="J205" s="12" t="s">
        <v>926</v>
      </c>
      <c r="K205" s="12" t="s">
        <v>467</v>
      </c>
      <c r="L205" s="12" t="s">
        <v>461</v>
      </c>
      <c r="M205" s="12" t="s">
        <v>472</v>
      </c>
      <c r="N205" s="14" t="s">
        <v>201</v>
      </c>
      <c r="O205" s="14"/>
      <c r="P205" s="12" t="s">
        <v>202</v>
      </c>
      <c r="Q205" s="12" t="s">
        <v>927</v>
      </c>
      <c r="R205" s="12" t="s">
        <v>928</v>
      </c>
    </row>
    <row r="206" customFormat="false" ht="30" hidden="false" customHeight="true" outlineLevel="0" collapsed="false">
      <c r="A206" s="12" t="s">
        <v>198</v>
      </c>
      <c r="B206" s="12" t="s">
        <v>925</v>
      </c>
      <c r="C206" s="12" t="n">
        <v>2</v>
      </c>
      <c r="D206" s="13" t="str">
        <f aca="false">HYPERLINK(BaseURL&amp;"/proposals/ca-bloomington-2551-s-lilac-avenue-micro-1sc5g8","CA Bloomington 2551 S Lilac Avenue Micro")</f>
        <v>CA Bloomington 2551 S Lilac Avenue Micro</v>
      </c>
      <c r="E206" s="12" t="s">
        <v>465</v>
      </c>
      <c r="F206" s="12" t="s">
        <v>86</v>
      </c>
      <c r="G206" s="12" t="s">
        <v>466</v>
      </c>
      <c r="H206" s="12" t="s">
        <v>83</v>
      </c>
      <c r="I206" s="14" t="s">
        <v>458</v>
      </c>
      <c r="J206" s="12" t="s">
        <v>926</v>
      </c>
      <c r="K206" s="12" t="s">
        <v>460</v>
      </c>
      <c r="L206" s="12" t="s">
        <v>461</v>
      </c>
      <c r="M206" s="12" t="s">
        <v>472</v>
      </c>
      <c r="N206" s="14" t="s">
        <v>201</v>
      </c>
      <c r="O206" s="14"/>
      <c r="P206" s="12" t="s">
        <v>202</v>
      </c>
      <c r="Q206" s="12" t="s">
        <v>929</v>
      </c>
      <c r="R206" s="12" t="s">
        <v>930</v>
      </c>
    </row>
    <row r="207" customFormat="false" ht="30" hidden="false" customHeight="true" outlineLevel="0" collapsed="false">
      <c r="A207" s="12" t="s">
        <v>205</v>
      </c>
      <c r="B207" s="12" t="s">
        <v>931</v>
      </c>
      <c r="C207" s="12" t="n">
        <v>1</v>
      </c>
      <c r="D207" s="13" t="str">
        <f aca="false">HYPERLINK(BaseURL&amp;"/proposals/zeta-solar-storage-vdqatx","Zeta Solar &amp; Storage")</f>
        <v>Zeta Solar &amp; Storage</v>
      </c>
      <c r="E207" s="12" t="s">
        <v>39</v>
      </c>
      <c r="F207" s="12" t="s">
        <v>86</v>
      </c>
      <c r="G207" s="12" t="s">
        <v>457</v>
      </c>
      <c r="H207" s="12" t="s">
        <v>83</v>
      </c>
      <c r="I207" s="14" t="s">
        <v>458</v>
      </c>
      <c r="J207" s="12" t="s">
        <v>932</v>
      </c>
      <c r="K207" s="12" t="s">
        <v>467</v>
      </c>
      <c r="L207" s="12" t="s">
        <v>461</v>
      </c>
      <c r="M207" s="12" t="s">
        <v>472</v>
      </c>
      <c r="N207" s="14" t="s">
        <v>208</v>
      </c>
      <c r="O207" s="14"/>
      <c r="P207" s="12" t="s">
        <v>209</v>
      </c>
      <c r="Q207" s="12" t="s">
        <v>933</v>
      </c>
      <c r="R207" s="12" t="s">
        <v>934</v>
      </c>
    </row>
    <row r="208" customFormat="false" ht="30" hidden="false" customHeight="true" outlineLevel="0" collapsed="false">
      <c r="A208" s="12" t="s">
        <v>205</v>
      </c>
      <c r="B208" s="12" t="s">
        <v>931</v>
      </c>
      <c r="C208" s="12" t="n">
        <v>2</v>
      </c>
      <c r="D208" s="13" t="str">
        <f aca="false">HYPERLINK(BaseURL&amp;"/proposals/zeta-solar-storage-jv9r1a","Zeta Solar &amp; Storage")</f>
        <v>Zeta Solar &amp; Storage</v>
      </c>
      <c r="E208" s="12" t="s">
        <v>465</v>
      </c>
      <c r="F208" s="12" t="s">
        <v>86</v>
      </c>
      <c r="G208" s="12" t="s">
        <v>466</v>
      </c>
      <c r="H208" s="12" t="s">
        <v>83</v>
      </c>
      <c r="I208" s="14" t="s">
        <v>458</v>
      </c>
      <c r="J208" s="12" t="s">
        <v>932</v>
      </c>
      <c r="K208" s="12" t="s">
        <v>460</v>
      </c>
      <c r="L208" s="12" t="s">
        <v>461</v>
      </c>
      <c r="M208" s="12" t="s">
        <v>472</v>
      </c>
      <c r="N208" s="14" t="s">
        <v>208</v>
      </c>
      <c r="O208" s="14"/>
      <c r="P208" s="12" t="s">
        <v>209</v>
      </c>
      <c r="Q208" s="12" t="s">
        <v>935</v>
      </c>
      <c r="R208" s="12" t="s">
        <v>936</v>
      </c>
    </row>
    <row r="209" customFormat="false" ht="30" hidden="false" customHeight="true" outlineLevel="0" collapsed="false">
      <c r="A209" s="12" t="s">
        <v>212</v>
      </c>
      <c r="B209" s="12" t="s">
        <v>937</v>
      </c>
      <c r="C209" s="12" t="n">
        <v>1</v>
      </c>
      <c r="D209" s="13" t="str">
        <f aca="false">HYPERLINK(BaseURL&amp;"/proposals/robeson-solar-i-ffmd2n","Robeson Solar I")</f>
        <v>Robeson Solar I</v>
      </c>
      <c r="E209" s="12" t="s">
        <v>39</v>
      </c>
      <c r="F209" s="12" t="s">
        <v>86</v>
      </c>
      <c r="G209" s="12" t="s">
        <v>457</v>
      </c>
      <c r="H209" s="12" t="s">
        <v>83</v>
      </c>
      <c r="I209" s="14" t="s">
        <v>458</v>
      </c>
      <c r="J209" s="12" t="s">
        <v>938</v>
      </c>
      <c r="K209" s="12" t="s">
        <v>467</v>
      </c>
      <c r="L209" s="12" t="s">
        <v>471</v>
      </c>
      <c r="M209" s="12" t="s">
        <v>939</v>
      </c>
      <c r="N209" s="14" t="s">
        <v>215</v>
      </c>
      <c r="O209" s="14"/>
      <c r="P209" s="12" t="s">
        <v>216</v>
      </c>
      <c r="Q209" s="12" t="s">
        <v>940</v>
      </c>
      <c r="R209" s="12" t="s">
        <v>941</v>
      </c>
    </row>
    <row r="210" customFormat="false" ht="30" hidden="false" customHeight="true" outlineLevel="0" collapsed="false">
      <c r="A210" s="12" t="s">
        <v>212</v>
      </c>
      <c r="B210" s="12" t="s">
        <v>937</v>
      </c>
      <c r="C210" s="12" t="n">
        <v>2</v>
      </c>
      <c r="D210" s="13" t="str">
        <f aca="false">HYPERLINK(BaseURL&amp;"/proposals/robeson-solar-i-exsg5m","Robeson Solar I")</f>
        <v>Robeson Solar I</v>
      </c>
      <c r="E210" s="12" t="s">
        <v>465</v>
      </c>
      <c r="F210" s="12" t="s">
        <v>86</v>
      </c>
      <c r="G210" s="12" t="s">
        <v>466</v>
      </c>
      <c r="H210" s="12" t="s">
        <v>83</v>
      </c>
      <c r="I210" s="14" t="s">
        <v>458</v>
      </c>
      <c r="J210" s="12" t="s">
        <v>942</v>
      </c>
      <c r="K210" s="12" t="s">
        <v>460</v>
      </c>
      <c r="L210" s="12" t="s">
        <v>471</v>
      </c>
      <c r="M210" s="12" t="s">
        <v>939</v>
      </c>
      <c r="N210" s="14" t="s">
        <v>215</v>
      </c>
      <c r="O210" s="14"/>
      <c r="P210" s="12" t="s">
        <v>216</v>
      </c>
      <c r="Q210" s="12" t="s">
        <v>943</v>
      </c>
      <c r="R210" s="12" t="s">
        <v>944</v>
      </c>
    </row>
    <row r="211" customFormat="false" ht="30" hidden="false" customHeight="true" outlineLevel="0" collapsed="false">
      <c r="A211" s="12" t="s">
        <v>219</v>
      </c>
      <c r="B211" s="12" t="s">
        <v>945</v>
      </c>
      <c r="C211" s="12" t="n">
        <v>1</v>
      </c>
      <c r="D211" s="13" t="str">
        <f aca="false">HYPERLINK(BaseURL&amp;"/proposals/nisa-electric-generation-project-wcak4m","NISA Electric Generation Project")</f>
        <v>NISA Electric Generation Project</v>
      </c>
      <c r="E211" s="12" t="s">
        <v>39</v>
      </c>
      <c r="F211" s="12" t="s">
        <v>86</v>
      </c>
      <c r="G211" s="12" t="s">
        <v>457</v>
      </c>
      <c r="H211" s="12" t="s">
        <v>83</v>
      </c>
      <c r="I211" s="14" t="s">
        <v>458</v>
      </c>
      <c r="J211" s="12" t="s">
        <v>946</v>
      </c>
      <c r="K211" s="12" t="s">
        <v>460</v>
      </c>
      <c r="L211" s="12" t="s">
        <v>796</v>
      </c>
      <c r="M211" s="12" t="s">
        <v>947</v>
      </c>
      <c r="N211" s="14" t="s">
        <v>222</v>
      </c>
      <c r="O211" s="14"/>
      <c r="P211" s="12" t="s">
        <v>223</v>
      </c>
      <c r="Q211" s="12" t="s">
        <v>948</v>
      </c>
      <c r="R211" s="12" t="s">
        <v>949</v>
      </c>
    </row>
    <row r="212" customFormat="false" ht="30" hidden="false" customHeight="true" outlineLevel="0" collapsed="false">
      <c r="A212" s="12" t="s">
        <v>219</v>
      </c>
      <c r="B212" s="12" t="s">
        <v>945</v>
      </c>
      <c r="C212" s="12" t="n">
        <v>2</v>
      </c>
      <c r="D212" s="13" t="str">
        <f aca="false">HYPERLINK(BaseURL&amp;"/proposals/nisa-electric-generation-project-0ce811","NISA Electric Generation Project")</f>
        <v>NISA Electric Generation Project</v>
      </c>
      <c r="E212" s="12" t="s">
        <v>465</v>
      </c>
      <c r="F212" s="12" t="s">
        <v>86</v>
      </c>
      <c r="G212" s="12" t="s">
        <v>466</v>
      </c>
      <c r="H212" s="12" t="s">
        <v>83</v>
      </c>
      <c r="I212" s="14" t="s">
        <v>458</v>
      </c>
      <c r="J212" s="12" t="s">
        <v>950</v>
      </c>
      <c r="K212" s="12" t="s">
        <v>460</v>
      </c>
      <c r="L212" s="12" t="s">
        <v>796</v>
      </c>
      <c r="M212" s="12" t="s">
        <v>947</v>
      </c>
      <c r="N212" s="14" t="s">
        <v>222</v>
      </c>
      <c r="O212" s="14"/>
      <c r="P212" s="12" t="s">
        <v>223</v>
      </c>
      <c r="Q212" s="12" t="s">
        <v>951</v>
      </c>
      <c r="R212" s="12" t="s">
        <v>952</v>
      </c>
    </row>
    <row r="213" customFormat="false" ht="30" hidden="false" customHeight="true" outlineLevel="0" collapsed="false">
      <c r="A213" s="12" t="s">
        <v>226</v>
      </c>
      <c r="B213" s="12" t="s">
        <v>953</v>
      </c>
      <c r="C213" s="12" t="n">
        <v>1</v>
      </c>
      <c r="D213" s="13" t="str">
        <f aca="false">HYPERLINK(BaseURL&amp;"/proposals/pacifico-power-lancaster-01-ykqe1r","Pacifico Power Lancaster 01")</f>
        <v>Pacifico Power Lancaster 01</v>
      </c>
      <c r="E213" s="12" t="s">
        <v>39</v>
      </c>
      <c r="F213" s="12" t="s">
        <v>86</v>
      </c>
      <c r="G213" s="12" t="s">
        <v>457</v>
      </c>
      <c r="H213" s="12" t="s">
        <v>83</v>
      </c>
      <c r="I213" s="14" t="s">
        <v>458</v>
      </c>
      <c r="J213" s="12" t="s">
        <v>954</v>
      </c>
      <c r="K213" s="12" t="s">
        <v>467</v>
      </c>
      <c r="L213" s="12" t="s">
        <v>461</v>
      </c>
      <c r="M213" s="12" t="s">
        <v>472</v>
      </c>
      <c r="N213" s="14" t="s">
        <v>229</v>
      </c>
      <c r="O213" s="14"/>
      <c r="P213" s="12" t="s">
        <v>230</v>
      </c>
      <c r="Q213" s="12" t="s">
        <v>955</v>
      </c>
      <c r="R213" s="12" t="s">
        <v>956</v>
      </c>
    </row>
    <row r="214" customFormat="false" ht="30" hidden="false" customHeight="true" outlineLevel="0" collapsed="false">
      <c r="A214" s="12" t="s">
        <v>226</v>
      </c>
      <c r="B214" s="12" t="s">
        <v>953</v>
      </c>
      <c r="C214" s="12" t="n">
        <v>2</v>
      </c>
      <c r="D214" s="13" t="str">
        <f aca="false">HYPERLINK(BaseURL&amp;"/proposals/pacifico-power-lancaster-01-66h8h1","Pacifico Power Lancaster 01")</f>
        <v>Pacifico Power Lancaster 01</v>
      </c>
      <c r="E214" s="12" t="s">
        <v>465</v>
      </c>
      <c r="F214" s="12" t="s">
        <v>86</v>
      </c>
      <c r="G214" s="12" t="s">
        <v>466</v>
      </c>
      <c r="H214" s="12" t="s">
        <v>83</v>
      </c>
      <c r="I214" s="14" t="s">
        <v>458</v>
      </c>
      <c r="J214" s="12" t="s">
        <v>957</v>
      </c>
      <c r="K214" s="12" t="s">
        <v>460</v>
      </c>
      <c r="L214" s="12" t="s">
        <v>461</v>
      </c>
      <c r="M214" s="12" t="s">
        <v>472</v>
      </c>
      <c r="N214" s="14" t="s">
        <v>229</v>
      </c>
      <c r="O214" s="14"/>
      <c r="P214" s="12" t="s">
        <v>230</v>
      </c>
      <c r="Q214" s="12" t="s">
        <v>958</v>
      </c>
      <c r="R214" s="12" t="s">
        <v>959</v>
      </c>
    </row>
    <row r="215" customFormat="false" ht="30" hidden="false" customHeight="true" outlineLevel="0" collapsed="false">
      <c r="A215" s="12" t="s">
        <v>233</v>
      </c>
      <c r="B215" s="12" t="s">
        <v>236</v>
      </c>
      <c r="C215" s="12" t="n">
        <v>1</v>
      </c>
      <c r="D215" s="13" t="str">
        <f aca="false">HYPERLINK(BaseURL&amp;"/proposals/alina-energy-llc-rs7abc","Alina Energy LLC")</f>
        <v>Alina Energy LLC</v>
      </c>
      <c r="E215" s="12" t="s">
        <v>39</v>
      </c>
      <c r="F215" s="12" t="s">
        <v>86</v>
      </c>
      <c r="G215" s="12" t="s">
        <v>457</v>
      </c>
      <c r="H215" s="12" t="s">
        <v>83</v>
      </c>
      <c r="I215" s="14" t="s">
        <v>458</v>
      </c>
      <c r="J215" s="12" t="s">
        <v>459</v>
      </c>
      <c r="K215" s="12" t="s">
        <v>467</v>
      </c>
      <c r="L215" s="12" t="s">
        <v>471</v>
      </c>
      <c r="M215" s="12" t="s">
        <v>480</v>
      </c>
      <c r="N215" s="14" t="s">
        <v>236</v>
      </c>
      <c r="O215" s="14"/>
      <c r="P215" s="12" t="s">
        <v>237</v>
      </c>
      <c r="Q215" s="12" t="s">
        <v>960</v>
      </c>
      <c r="R215" s="12" t="s">
        <v>961</v>
      </c>
    </row>
    <row r="216" customFormat="false" ht="30" hidden="false" customHeight="true" outlineLevel="0" collapsed="false">
      <c r="A216" s="12" t="s">
        <v>233</v>
      </c>
      <c r="B216" s="12" t="s">
        <v>236</v>
      </c>
      <c r="C216" s="12" t="n">
        <v>2</v>
      </c>
      <c r="D216" s="13" t="str">
        <f aca="false">HYPERLINK(BaseURL&amp;"/proposals/alina-energy-llc-egw921","Alina Energy LLC")</f>
        <v>Alina Energy LLC</v>
      </c>
      <c r="E216" s="12" t="s">
        <v>465</v>
      </c>
      <c r="F216" s="12" t="s">
        <v>86</v>
      </c>
      <c r="G216" s="12" t="s">
        <v>466</v>
      </c>
      <c r="H216" s="12" t="s">
        <v>83</v>
      </c>
      <c r="I216" s="14" t="s">
        <v>458</v>
      </c>
      <c r="J216" s="12" t="s">
        <v>459</v>
      </c>
      <c r="K216" s="12" t="s">
        <v>460</v>
      </c>
      <c r="L216" s="12" t="s">
        <v>471</v>
      </c>
      <c r="M216" s="12" t="s">
        <v>480</v>
      </c>
      <c r="N216" s="14" t="s">
        <v>236</v>
      </c>
      <c r="O216" s="14"/>
      <c r="P216" s="12" t="s">
        <v>237</v>
      </c>
      <c r="Q216" s="12" t="s">
        <v>962</v>
      </c>
      <c r="R216" s="12" t="s">
        <v>963</v>
      </c>
    </row>
    <row r="217" customFormat="false" ht="30" hidden="false" customHeight="true" outlineLevel="0" collapsed="false">
      <c r="A217" s="12" t="s">
        <v>240</v>
      </c>
      <c r="B217" s="12" t="s">
        <v>964</v>
      </c>
      <c r="C217" s="12" t="n">
        <v>1</v>
      </c>
      <c r="D217" s="13" t="str">
        <f aca="false">HYPERLINK(BaseURL&amp;"/proposals/vast-sands-power-xnn7z9","Vast Sands Power")</f>
        <v>Vast Sands Power</v>
      </c>
      <c r="E217" s="12" t="s">
        <v>39</v>
      </c>
      <c r="F217" s="12" t="s">
        <v>86</v>
      </c>
      <c r="G217" s="12" t="s">
        <v>457</v>
      </c>
      <c r="H217" s="12" t="s">
        <v>83</v>
      </c>
      <c r="I217" s="14" t="s">
        <v>458</v>
      </c>
      <c r="J217" s="12" t="s">
        <v>965</v>
      </c>
      <c r="K217" s="12" t="s">
        <v>487</v>
      </c>
      <c r="L217" s="12" t="s">
        <v>461</v>
      </c>
      <c r="M217" s="12" t="s">
        <v>480</v>
      </c>
      <c r="N217" s="14" t="s">
        <v>243</v>
      </c>
      <c r="O217" s="14"/>
      <c r="P217" s="12" t="s">
        <v>244</v>
      </c>
      <c r="Q217" s="12" t="s">
        <v>966</v>
      </c>
      <c r="R217" s="12" t="s">
        <v>967</v>
      </c>
    </row>
    <row r="218" customFormat="false" ht="30" hidden="false" customHeight="true" outlineLevel="0" collapsed="false">
      <c r="A218" s="12" t="s">
        <v>240</v>
      </c>
      <c r="B218" s="12" t="s">
        <v>964</v>
      </c>
      <c r="C218" s="12" t="n">
        <v>2</v>
      </c>
      <c r="D218" s="13" t="str">
        <f aca="false">HYPERLINK(BaseURL&amp;"/proposals/vast-sands-power-ptvwjd","Vast Sands Power")</f>
        <v>Vast Sands Power</v>
      </c>
      <c r="E218" s="12" t="s">
        <v>465</v>
      </c>
      <c r="F218" s="12" t="s">
        <v>86</v>
      </c>
      <c r="G218" s="12" t="s">
        <v>466</v>
      </c>
      <c r="H218" s="12" t="s">
        <v>83</v>
      </c>
      <c r="I218" s="14" t="s">
        <v>458</v>
      </c>
      <c r="J218" s="12" t="s">
        <v>965</v>
      </c>
      <c r="K218" s="12" t="s">
        <v>487</v>
      </c>
      <c r="L218" s="12" t="s">
        <v>461</v>
      </c>
      <c r="M218" s="12" t="s">
        <v>480</v>
      </c>
      <c r="N218" s="14" t="s">
        <v>243</v>
      </c>
      <c r="O218" s="14"/>
      <c r="P218" s="12" t="s">
        <v>244</v>
      </c>
      <c r="Q218" s="12" t="s">
        <v>968</v>
      </c>
      <c r="R218" s="12" t="s">
        <v>969</v>
      </c>
    </row>
    <row r="219" customFormat="false" ht="30" hidden="false" customHeight="true" outlineLevel="0" collapsed="false">
      <c r="A219" s="12" t="s">
        <v>247</v>
      </c>
      <c r="B219" s="12" t="s">
        <v>970</v>
      </c>
      <c r="C219" s="12" t="n">
        <v>1</v>
      </c>
      <c r="D219" s="13" t="str">
        <f aca="false">HYPERLINK(BaseURL&amp;"/proposals/rawhide-h3r3kr","Rawhide")</f>
        <v>Rawhide</v>
      </c>
      <c r="E219" s="12" t="s">
        <v>39</v>
      </c>
      <c r="F219" s="12" t="s">
        <v>86</v>
      </c>
      <c r="G219" s="12" t="s">
        <v>457</v>
      </c>
      <c r="H219" s="12" t="s">
        <v>83</v>
      </c>
      <c r="I219" s="14" t="s">
        <v>458</v>
      </c>
      <c r="J219" s="12" t="s">
        <v>971</v>
      </c>
      <c r="K219" s="12" t="s">
        <v>487</v>
      </c>
      <c r="L219" s="12" t="s">
        <v>471</v>
      </c>
      <c r="M219" s="12" t="s">
        <v>972</v>
      </c>
      <c r="N219" s="14" t="s">
        <v>250</v>
      </c>
      <c r="O219" s="14"/>
      <c r="P219" s="12" t="s">
        <v>251</v>
      </c>
      <c r="Q219" s="12" t="s">
        <v>973</v>
      </c>
      <c r="R219" s="12" t="s">
        <v>974</v>
      </c>
    </row>
    <row r="220" customFormat="false" ht="30" hidden="false" customHeight="true" outlineLevel="0" collapsed="false">
      <c r="A220" s="12" t="s">
        <v>247</v>
      </c>
      <c r="B220" s="12" t="s">
        <v>970</v>
      </c>
      <c r="C220" s="12" t="n">
        <v>2</v>
      </c>
      <c r="D220" s="13" t="str">
        <f aca="false">HYPERLINK(BaseURL&amp;"/proposals/rawhide-8bfsas","Rawhide")</f>
        <v>Rawhide</v>
      </c>
      <c r="E220" s="12" t="s">
        <v>465</v>
      </c>
      <c r="F220" s="12" t="s">
        <v>86</v>
      </c>
      <c r="G220" s="12" t="s">
        <v>466</v>
      </c>
      <c r="H220" s="12" t="s">
        <v>83</v>
      </c>
      <c r="I220" s="14" t="s">
        <v>458</v>
      </c>
      <c r="J220" s="12" t="s">
        <v>971</v>
      </c>
      <c r="K220" s="12" t="s">
        <v>487</v>
      </c>
      <c r="L220" s="12" t="s">
        <v>471</v>
      </c>
      <c r="M220" s="12" t="s">
        <v>972</v>
      </c>
      <c r="N220" s="14" t="s">
        <v>250</v>
      </c>
      <c r="O220" s="14"/>
      <c r="P220" s="12" t="s">
        <v>251</v>
      </c>
      <c r="Q220" s="12" t="s">
        <v>975</v>
      </c>
      <c r="R220" s="12" t="s">
        <v>976</v>
      </c>
    </row>
    <row r="221" customFormat="false" ht="30" hidden="false" customHeight="true" outlineLevel="0" collapsed="false">
      <c r="A221" s="12" t="s">
        <v>247</v>
      </c>
      <c r="B221" s="12" t="s">
        <v>970</v>
      </c>
      <c r="C221" s="12" t="n">
        <v>3</v>
      </c>
      <c r="D221" s="13" t="str">
        <f aca="false">HYPERLINK(BaseURL&amp;"/proposals/rawhide-4j3wgh","Rawhide")</f>
        <v>Rawhide</v>
      </c>
      <c r="E221" s="12" t="s">
        <v>465</v>
      </c>
      <c r="F221" s="12" t="s">
        <v>86</v>
      </c>
      <c r="G221" s="12" t="s">
        <v>466</v>
      </c>
      <c r="H221" s="12" t="s">
        <v>83</v>
      </c>
      <c r="I221" s="14" t="s">
        <v>458</v>
      </c>
      <c r="J221" s="12" t="s">
        <v>971</v>
      </c>
      <c r="K221" s="12" t="s">
        <v>487</v>
      </c>
      <c r="L221" s="12" t="s">
        <v>471</v>
      </c>
      <c r="M221" s="12" t="s">
        <v>972</v>
      </c>
      <c r="N221" s="14" t="s">
        <v>250</v>
      </c>
      <c r="O221" s="14"/>
      <c r="P221" s="12" t="s">
        <v>251</v>
      </c>
      <c r="Q221" s="12" t="s">
        <v>977</v>
      </c>
      <c r="R221" s="12" t="s">
        <v>978</v>
      </c>
    </row>
    <row r="222" customFormat="false" ht="30" hidden="false" customHeight="true" outlineLevel="0" collapsed="false">
      <c r="A222" s="12" t="s">
        <v>247</v>
      </c>
      <c r="B222" s="12" t="s">
        <v>970</v>
      </c>
      <c r="C222" s="12" t="n">
        <v>4</v>
      </c>
      <c r="D222" s="13" t="str">
        <f aca="false">HYPERLINK(BaseURL&amp;"/proposals/rawhide-2bw8p1","Rawhide")</f>
        <v>Rawhide</v>
      </c>
      <c r="E222" s="12" t="s">
        <v>465</v>
      </c>
      <c r="F222" s="12" t="s">
        <v>86</v>
      </c>
      <c r="G222" s="12" t="s">
        <v>466</v>
      </c>
      <c r="H222" s="12" t="s">
        <v>83</v>
      </c>
      <c r="I222" s="14" t="s">
        <v>458</v>
      </c>
      <c r="J222" s="12" t="s">
        <v>971</v>
      </c>
      <c r="K222" s="12" t="s">
        <v>487</v>
      </c>
      <c r="L222" s="12" t="s">
        <v>471</v>
      </c>
      <c r="M222" s="12" t="s">
        <v>972</v>
      </c>
      <c r="N222" s="14" t="s">
        <v>250</v>
      </c>
      <c r="O222" s="14"/>
      <c r="P222" s="12" t="s">
        <v>251</v>
      </c>
      <c r="Q222" s="12" t="s">
        <v>979</v>
      </c>
      <c r="R222" s="12" t="s">
        <v>980</v>
      </c>
    </row>
    <row r="223" customFormat="false" ht="30" hidden="false" customHeight="true" outlineLevel="0" collapsed="false">
      <c r="A223" s="12" t="s">
        <v>247</v>
      </c>
      <c r="B223" s="12" t="s">
        <v>970</v>
      </c>
      <c r="C223" s="12" t="n">
        <v>5</v>
      </c>
      <c r="D223" s="13" t="str">
        <f aca="false">HYPERLINK(BaseURL&amp;"/proposals/rawhide-am5nr2","Rawhide")</f>
        <v>Rawhide</v>
      </c>
      <c r="E223" s="12" t="s">
        <v>465</v>
      </c>
      <c r="F223" s="12" t="s">
        <v>86</v>
      </c>
      <c r="G223" s="12" t="s">
        <v>466</v>
      </c>
      <c r="H223" s="12" t="s">
        <v>83</v>
      </c>
      <c r="I223" s="14" t="s">
        <v>458</v>
      </c>
      <c r="J223" s="12" t="s">
        <v>971</v>
      </c>
      <c r="K223" s="12" t="s">
        <v>487</v>
      </c>
      <c r="L223" s="12" t="s">
        <v>471</v>
      </c>
      <c r="M223" s="12" t="s">
        <v>972</v>
      </c>
      <c r="N223" s="14" t="s">
        <v>250</v>
      </c>
      <c r="O223" s="14"/>
      <c r="P223" s="12" t="s">
        <v>251</v>
      </c>
      <c r="Q223" s="12" t="s">
        <v>981</v>
      </c>
      <c r="R223" s="12" t="s">
        <v>982</v>
      </c>
    </row>
    <row r="224" customFormat="false" ht="30" hidden="false" customHeight="true" outlineLevel="0" collapsed="false">
      <c r="A224" s="12" t="s">
        <v>254</v>
      </c>
      <c r="B224" s="12" t="s">
        <v>983</v>
      </c>
      <c r="C224" s="12" t="n">
        <v>1</v>
      </c>
      <c r="D224" s="13" t="str">
        <f aca="false">HYPERLINK(BaseURL&amp;"/proposals/cherry-75yrhb","Cherry")</f>
        <v>Cherry</v>
      </c>
      <c r="E224" s="12" t="s">
        <v>39</v>
      </c>
      <c r="F224" s="12" t="s">
        <v>86</v>
      </c>
      <c r="G224" s="12" t="s">
        <v>457</v>
      </c>
      <c r="H224" s="12" t="s">
        <v>83</v>
      </c>
      <c r="I224" s="14" t="s">
        <v>458</v>
      </c>
      <c r="J224" s="12" t="s">
        <v>984</v>
      </c>
      <c r="K224" s="12" t="s">
        <v>467</v>
      </c>
      <c r="L224" s="12" t="s">
        <v>796</v>
      </c>
      <c r="M224" s="12" t="s">
        <v>472</v>
      </c>
      <c r="N224" s="14" t="s">
        <v>257</v>
      </c>
      <c r="O224" s="14"/>
      <c r="P224" s="12" t="s">
        <v>258</v>
      </c>
      <c r="Q224" s="12" t="s">
        <v>985</v>
      </c>
      <c r="R224" s="12" t="s">
        <v>986</v>
      </c>
    </row>
    <row r="225" customFormat="false" ht="30" hidden="false" customHeight="true" outlineLevel="0" collapsed="false">
      <c r="A225" s="12" t="s">
        <v>254</v>
      </c>
      <c r="B225" s="12" t="s">
        <v>983</v>
      </c>
      <c r="C225" s="12" t="n">
        <v>2</v>
      </c>
      <c r="D225" s="13" t="str">
        <f aca="false">HYPERLINK(BaseURL&amp;"/proposals/cherry-z75m9h","Cherry")</f>
        <v>Cherry</v>
      </c>
      <c r="E225" s="12" t="s">
        <v>465</v>
      </c>
      <c r="F225" s="12" t="s">
        <v>86</v>
      </c>
      <c r="G225" s="12" t="s">
        <v>466</v>
      </c>
      <c r="H225" s="12" t="s">
        <v>83</v>
      </c>
      <c r="I225" s="14" t="s">
        <v>458</v>
      </c>
      <c r="J225" s="12" t="s">
        <v>987</v>
      </c>
      <c r="K225" s="12" t="s">
        <v>460</v>
      </c>
      <c r="L225" s="12" t="s">
        <v>796</v>
      </c>
      <c r="M225" s="12" t="s">
        <v>472</v>
      </c>
      <c r="N225" s="14" t="s">
        <v>257</v>
      </c>
      <c r="O225" s="14"/>
      <c r="P225" s="12" t="s">
        <v>258</v>
      </c>
      <c r="Q225" s="12" t="s">
        <v>988</v>
      </c>
      <c r="R225" s="12" t="s">
        <v>989</v>
      </c>
    </row>
    <row r="226" customFormat="false" ht="30" hidden="false" customHeight="true" outlineLevel="0" collapsed="false">
      <c r="A226" s="12" t="s">
        <v>261</v>
      </c>
      <c r="B226" s="12" t="s">
        <v>990</v>
      </c>
      <c r="C226" s="12" t="n">
        <v>1</v>
      </c>
      <c r="D226" s="13" t="str">
        <f aca="false">HYPERLINK(BaseURL&amp;"/proposals/vichy-solar-yphnxj","Vichy Solar")</f>
        <v>Vichy Solar</v>
      </c>
      <c r="E226" s="12" t="s">
        <v>39</v>
      </c>
      <c r="F226" s="12" t="s">
        <v>86</v>
      </c>
      <c r="G226" s="12" t="s">
        <v>457</v>
      </c>
      <c r="H226" s="12" t="s">
        <v>83</v>
      </c>
      <c r="I226" s="14" t="s">
        <v>458</v>
      </c>
      <c r="J226" s="12" t="s">
        <v>459</v>
      </c>
      <c r="K226" s="12" t="s">
        <v>460</v>
      </c>
      <c r="L226" s="12" t="s">
        <v>471</v>
      </c>
      <c r="M226" s="12" t="s">
        <v>991</v>
      </c>
      <c r="N226" s="14" t="s">
        <v>264</v>
      </c>
      <c r="O226" s="14"/>
      <c r="P226" s="12" t="s">
        <v>265</v>
      </c>
      <c r="Q226" s="12" t="s">
        <v>992</v>
      </c>
      <c r="R226" s="12" t="s">
        <v>993</v>
      </c>
    </row>
    <row r="227" customFormat="false" ht="30" hidden="false" customHeight="true" outlineLevel="0" collapsed="false">
      <c r="A227" s="12" t="s">
        <v>261</v>
      </c>
      <c r="B227" s="12" t="s">
        <v>990</v>
      </c>
      <c r="C227" s="12" t="n">
        <v>2</v>
      </c>
      <c r="D227" s="13" t="str">
        <f aca="false">HYPERLINK(BaseURL&amp;"/proposals/vichy-solar-542ss1","Vichy Solar")</f>
        <v>Vichy Solar</v>
      </c>
      <c r="E227" s="12" t="s">
        <v>465</v>
      </c>
      <c r="F227" s="12" t="s">
        <v>86</v>
      </c>
      <c r="G227" s="12" t="s">
        <v>466</v>
      </c>
      <c r="H227" s="12" t="s">
        <v>83</v>
      </c>
      <c r="I227" s="14" t="s">
        <v>458</v>
      </c>
      <c r="J227" s="12" t="s">
        <v>459</v>
      </c>
      <c r="K227" s="12" t="s">
        <v>467</v>
      </c>
      <c r="L227" s="12" t="s">
        <v>471</v>
      </c>
      <c r="M227" s="12" t="s">
        <v>991</v>
      </c>
      <c r="N227" s="14" t="s">
        <v>264</v>
      </c>
      <c r="O227" s="14"/>
      <c r="P227" s="12" t="s">
        <v>265</v>
      </c>
      <c r="Q227" s="12" t="s">
        <v>994</v>
      </c>
      <c r="R227" s="12" t="s">
        <v>995</v>
      </c>
    </row>
    <row r="228" customFormat="false" ht="30" hidden="false" customHeight="true" outlineLevel="0" collapsed="false">
      <c r="A228" s="12" t="s">
        <v>268</v>
      </c>
      <c r="B228" s="12" t="s">
        <v>996</v>
      </c>
      <c r="C228" s="12" t="n">
        <v>1</v>
      </c>
      <c r="D228" s="13" t="str">
        <f aca="false">HYPERLINK(BaseURL&amp;"/proposals/solstice-solar-llc-8ravm5","Solstice Solar LLC")</f>
        <v>Solstice Solar LLC</v>
      </c>
      <c r="E228" s="12" t="s">
        <v>39</v>
      </c>
      <c r="F228" s="12" t="s">
        <v>86</v>
      </c>
      <c r="G228" s="12" t="s">
        <v>457</v>
      </c>
      <c r="H228" s="12" t="s">
        <v>83</v>
      </c>
      <c r="I228" s="14" t="s">
        <v>458</v>
      </c>
      <c r="J228" s="12" t="s">
        <v>459</v>
      </c>
      <c r="K228" s="12" t="s">
        <v>460</v>
      </c>
      <c r="L228" s="12" t="s">
        <v>471</v>
      </c>
      <c r="M228" s="12" t="s">
        <v>867</v>
      </c>
      <c r="N228" s="14" t="s">
        <v>271</v>
      </c>
      <c r="O228" s="14"/>
      <c r="P228" s="12" t="s">
        <v>272</v>
      </c>
      <c r="Q228" s="12" t="s">
        <v>997</v>
      </c>
      <c r="R228" s="12" t="s">
        <v>998</v>
      </c>
    </row>
    <row r="229" customFormat="false" ht="30" hidden="false" customHeight="true" outlineLevel="0" collapsed="false">
      <c r="A229" s="12" t="s">
        <v>268</v>
      </c>
      <c r="B229" s="12" t="s">
        <v>996</v>
      </c>
      <c r="C229" s="12" t="n">
        <v>2</v>
      </c>
      <c r="D229" s="13" t="str">
        <f aca="false">HYPERLINK(BaseURL&amp;"/proposals/solstice-solar-llc-f9kdp9","Solstice Solar LLC")</f>
        <v>Solstice Solar LLC</v>
      </c>
      <c r="E229" s="12" t="s">
        <v>465</v>
      </c>
      <c r="F229" s="12" t="s">
        <v>86</v>
      </c>
      <c r="G229" s="12" t="s">
        <v>466</v>
      </c>
      <c r="H229" s="12" t="s">
        <v>83</v>
      </c>
      <c r="I229" s="14" t="s">
        <v>458</v>
      </c>
      <c r="J229" s="12" t="s">
        <v>459</v>
      </c>
      <c r="K229" s="12" t="s">
        <v>467</v>
      </c>
      <c r="L229" s="12" t="s">
        <v>471</v>
      </c>
      <c r="M229" s="12" t="s">
        <v>867</v>
      </c>
      <c r="N229" s="14" t="s">
        <v>271</v>
      </c>
      <c r="O229" s="14"/>
      <c r="P229" s="12" t="s">
        <v>272</v>
      </c>
      <c r="Q229" s="12" t="s">
        <v>999</v>
      </c>
      <c r="R229" s="12" t="s">
        <v>1000</v>
      </c>
    </row>
    <row r="230" customFormat="false" ht="30" hidden="false" customHeight="true" outlineLevel="0" collapsed="false">
      <c r="A230" s="12" t="s">
        <v>275</v>
      </c>
      <c r="B230" s="12" t="s">
        <v>1001</v>
      </c>
      <c r="C230" s="12" t="n">
        <v>1</v>
      </c>
      <c r="D230" s="13" t="str">
        <f aca="false">HYPERLINK(BaseURL&amp;"/proposals/hornet-solar-ii-tx-hybrid-gecnjk","Hornet Solar II (TX) (Hybrid)")</f>
        <v>Hornet Solar II (TX) (Hybrid)</v>
      </c>
      <c r="E230" s="12" t="s">
        <v>39</v>
      </c>
      <c r="F230" s="12" t="s">
        <v>86</v>
      </c>
      <c r="G230" s="12" t="s">
        <v>457</v>
      </c>
      <c r="H230" s="12" t="s">
        <v>83</v>
      </c>
      <c r="I230" s="14" t="s">
        <v>458</v>
      </c>
      <c r="J230" s="12" t="s">
        <v>459</v>
      </c>
      <c r="K230" s="12" t="s">
        <v>467</v>
      </c>
      <c r="L230" s="12" t="s">
        <v>479</v>
      </c>
      <c r="M230" s="12" t="s">
        <v>480</v>
      </c>
      <c r="N230" s="14" t="s">
        <v>264</v>
      </c>
      <c r="O230" s="14"/>
      <c r="P230" s="12" t="s">
        <v>278</v>
      </c>
      <c r="Q230" s="12" t="s">
        <v>1002</v>
      </c>
      <c r="R230" s="12" t="s">
        <v>1003</v>
      </c>
    </row>
    <row r="231" customFormat="false" ht="30" hidden="false" customHeight="true" outlineLevel="0" collapsed="false">
      <c r="A231" s="12" t="s">
        <v>275</v>
      </c>
      <c r="B231" s="12" t="s">
        <v>1001</v>
      </c>
      <c r="C231" s="12" t="n">
        <v>2</v>
      </c>
      <c r="D231" s="13" t="str">
        <f aca="false">HYPERLINK(BaseURL&amp;"/proposals/hornet-solar-ii-tx-hybrid-wy3fxj","Hornet Solar II (TX) (Hybrid)")</f>
        <v>Hornet Solar II (TX) (Hybrid)</v>
      </c>
      <c r="E231" s="12" t="s">
        <v>465</v>
      </c>
      <c r="F231" s="12" t="s">
        <v>86</v>
      </c>
      <c r="G231" s="12" t="s">
        <v>466</v>
      </c>
      <c r="H231" s="12" t="s">
        <v>83</v>
      </c>
      <c r="I231" s="14" t="s">
        <v>458</v>
      </c>
      <c r="J231" s="12" t="s">
        <v>459</v>
      </c>
      <c r="K231" s="12" t="s">
        <v>460</v>
      </c>
      <c r="L231" s="12" t="s">
        <v>479</v>
      </c>
      <c r="M231" s="12" t="s">
        <v>480</v>
      </c>
      <c r="N231" s="14" t="s">
        <v>264</v>
      </c>
      <c r="O231" s="14"/>
      <c r="P231" s="12" t="s">
        <v>278</v>
      </c>
      <c r="Q231" s="12" t="s">
        <v>1004</v>
      </c>
      <c r="R231" s="12" t="s">
        <v>1005</v>
      </c>
    </row>
    <row r="232" customFormat="false" ht="30" hidden="false" customHeight="true" outlineLevel="0" collapsed="false">
      <c r="A232" s="12" t="s">
        <v>281</v>
      </c>
      <c r="B232" s="12" t="s">
        <v>284</v>
      </c>
      <c r="C232" s="12" t="n">
        <v>1</v>
      </c>
      <c r="D232" s="13" t="str">
        <f aca="false">HYPERLINK(BaseURL&amp;"/proposals/four-mile-mesa-solar-llc-h75bjf","Four Mile Mesa Solar, LLC")</f>
        <v>Four Mile Mesa Solar, LLC</v>
      </c>
      <c r="E232" s="12" t="s">
        <v>39</v>
      </c>
      <c r="F232" s="12" t="s">
        <v>86</v>
      </c>
      <c r="G232" s="12" t="s">
        <v>457</v>
      </c>
      <c r="H232" s="12" t="s">
        <v>83</v>
      </c>
      <c r="I232" s="14" t="s">
        <v>458</v>
      </c>
      <c r="J232" s="12" t="s">
        <v>1006</v>
      </c>
      <c r="K232" s="12" t="s">
        <v>467</v>
      </c>
      <c r="L232" s="12" t="s">
        <v>461</v>
      </c>
      <c r="M232" s="12" t="s">
        <v>1007</v>
      </c>
      <c r="N232" s="14" t="s">
        <v>284</v>
      </c>
      <c r="O232" s="14"/>
      <c r="P232" s="12" t="s">
        <v>285</v>
      </c>
      <c r="Q232" s="12" t="s">
        <v>1008</v>
      </c>
      <c r="R232" s="12" t="s">
        <v>1009</v>
      </c>
    </row>
    <row r="233" customFormat="false" ht="30" hidden="false" customHeight="true" outlineLevel="0" collapsed="false">
      <c r="A233" s="12" t="s">
        <v>281</v>
      </c>
      <c r="B233" s="12" t="s">
        <v>284</v>
      </c>
      <c r="C233" s="12" t="n">
        <v>2</v>
      </c>
      <c r="D233" s="13" t="str">
        <f aca="false">HYPERLINK(BaseURL&amp;"/proposals/four-mile-mesa-solar-llc-f9ypmv","Four Mile Mesa Solar, LLC")</f>
        <v>Four Mile Mesa Solar, LLC</v>
      </c>
      <c r="E233" s="12" t="s">
        <v>465</v>
      </c>
      <c r="F233" s="12" t="s">
        <v>86</v>
      </c>
      <c r="G233" s="12" t="s">
        <v>466</v>
      </c>
      <c r="H233" s="12" t="s">
        <v>83</v>
      </c>
      <c r="I233" s="14" t="s">
        <v>458</v>
      </c>
      <c r="J233" s="12" t="s">
        <v>1006</v>
      </c>
      <c r="K233" s="12" t="s">
        <v>460</v>
      </c>
      <c r="L233" s="12" t="s">
        <v>461</v>
      </c>
      <c r="M233" s="12" t="s">
        <v>1007</v>
      </c>
      <c r="N233" s="14" t="s">
        <v>284</v>
      </c>
      <c r="O233" s="14"/>
      <c r="P233" s="12" t="s">
        <v>285</v>
      </c>
      <c r="Q233" s="12" t="s">
        <v>1010</v>
      </c>
      <c r="R233" s="12" t="s">
        <v>1011</v>
      </c>
    </row>
    <row r="234" customFormat="false" ht="30" hidden="false" customHeight="true" outlineLevel="0" collapsed="false">
      <c r="A234" s="12" t="s">
        <v>288</v>
      </c>
      <c r="B234" s="12" t="s">
        <v>1012</v>
      </c>
      <c r="C234" s="12" t="n">
        <v>1</v>
      </c>
      <c r="D234" s="13" t="str">
        <f aca="false">HYPERLINK(BaseURL&amp;"/proposals/co-bar-d-solar-and-bess-8by7h2","CO Bar D Solar and BESS")</f>
        <v>CO Bar D Solar and BESS</v>
      </c>
      <c r="E234" s="12" t="s">
        <v>39</v>
      </c>
      <c r="F234" s="12" t="s">
        <v>86</v>
      </c>
      <c r="G234" s="12" t="s">
        <v>457</v>
      </c>
      <c r="H234" s="12" t="s">
        <v>83</v>
      </c>
      <c r="I234" s="14" t="s">
        <v>458</v>
      </c>
      <c r="J234" s="12" t="s">
        <v>1013</v>
      </c>
      <c r="K234" s="12" t="s">
        <v>460</v>
      </c>
      <c r="L234" s="12" t="s">
        <v>471</v>
      </c>
      <c r="M234" s="12" t="s">
        <v>462</v>
      </c>
      <c r="N234" s="14" t="s">
        <v>271</v>
      </c>
      <c r="O234" s="14"/>
      <c r="P234" s="12" t="s">
        <v>291</v>
      </c>
      <c r="Q234" s="12" t="s">
        <v>1014</v>
      </c>
      <c r="R234" s="12" t="s">
        <v>1015</v>
      </c>
    </row>
    <row r="235" customFormat="false" ht="30" hidden="false" customHeight="true" outlineLevel="0" collapsed="false">
      <c r="A235" s="12" t="s">
        <v>288</v>
      </c>
      <c r="B235" s="12" t="s">
        <v>1012</v>
      </c>
      <c r="C235" s="12" t="n">
        <v>2</v>
      </c>
      <c r="D235" s="13" t="str">
        <f aca="false">HYPERLINK(BaseURL&amp;"/proposals/co-bar-d-solar-and-bess-m11saf","CO Bar D Solar and BESS")</f>
        <v>CO Bar D Solar and BESS</v>
      </c>
      <c r="E235" s="12" t="s">
        <v>465</v>
      </c>
      <c r="F235" s="12" t="s">
        <v>86</v>
      </c>
      <c r="G235" s="12" t="s">
        <v>466</v>
      </c>
      <c r="H235" s="12" t="s">
        <v>83</v>
      </c>
      <c r="I235" s="14" t="s">
        <v>458</v>
      </c>
      <c r="J235" s="12" t="s">
        <v>1013</v>
      </c>
      <c r="K235" s="12" t="s">
        <v>467</v>
      </c>
      <c r="L235" s="12" t="s">
        <v>471</v>
      </c>
      <c r="M235" s="12" t="s">
        <v>462</v>
      </c>
      <c r="N235" s="14" t="s">
        <v>271</v>
      </c>
      <c r="O235" s="14"/>
      <c r="P235" s="12" t="s">
        <v>291</v>
      </c>
      <c r="Q235" s="12" t="s">
        <v>1016</v>
      </c>
      <c r="R235" s="12" t="s">
        <v>1017</v>
      </c>
    </row>
    <row r="236" customFormat="false" ht="30" hidden="false" customHeight="true" outlineLevel="0" collapsed="false">
      <c r="A236" s="12" t="s">
        <v>294</v>
      </c>
      <c r="B236" s="12" t="s">
        <v>1018</v>
      </c>
      <c r="C236" s="12" t="n">
        <v>1</v>
      </c>
      <c r="D236" s="13" t="str">
        <f aca="false">HYPERLINK(BaseURL&amp;"/proposals/bishop-ranch-br-3-gg-460jsb","Bishop Ranch - BR 3-GG")</f>
        <v>Bishop Ranch - BR 3-GG</v>
      </c>
      <c r="E236" s="12" t="s">
        <v>39</v>
      </c>
      <c r="F236" s="12" t="s">
        <v>86</v>
      </c>
      <c r="G236" s="12" t="s">
        <v>457</v>
      </c>
      <c r="H236" s="12" t="s">
        <v>83</v>
      </c>
      <c r="I236" s="14" t="s">
        <v>458</v>
      </c>
      <c r="J236" s="12" t="s">
        <v>1019</v>
      </c>
      <c r="K236" s="12" t="s">
        <v>467</v>
      </c>
      <c r="L236" s="12" t="s">
        <v>461</v>
      </c>
      <c r="M236" s="12" t="s">
        <v>472</v>
      </c>
      <c r="N236" s="14" t="s">
        <v>297</v>
      </c>
      <c r="O236" s="14"/>
      <c r="P236" s="12" t="s">
        <v>298</v>
      </c>
      <c r="Q236" s="12" t="s">
        <v>1020</v>
      </c>
      <c r="R236" s="12" t="s">
        <v>1021</v>
      </c>
    </row>
    <row r="237" customFormat="false" ht="30" hidden="false" customHeight="true" outlineLevel="0" collapsed="false">
      <c r="A237" s="12" t="s">
        <v>294</v>
      </c>
      <c r="B237" s="12" t="s">
        <v>1018</v>
      </c>
      <c r="C237" s="12" t="n">
        <v>2</v>
      </c>
      <c r="D237" s="13" t="str">
        <f aca="false">HYPERLINK(BaseURL&amp;"/proposals/bishop-ranch-br-3-gg-9fvbps","Bishop Ranch - BR 3-GG")</f>
        <v>Bishop Ranch - BR 3-GG</v>
      </c>
      <c r="E237" s="12" t="s">
        <v>465</v>
      </c>
      <c r="F237" s="12" t="s">
        <v>86</v>
      </c>
      <c r="G237" s="12" t="s">
        <v>466</v>
      </c>
      <c r="H237" s="12" t="s">
        <v>83</v>
      </c>
      <c r="I237" s="14" t="s">
        <v>458</v>
      </c>
      <c r="J237" s="12" t="s">
        <v>1022</v>
      </c>
      <c r="K237" s="12" t="s">
        <v>460</v>
      </c>
      <c r="L237" s="12" t="s">
        <v>461</v>
      </c>
      <c r="M237" s="12" t="s">
        <v>472</v>
      </c>
      <c r="N237" s="14" t="s">
        <v>297</v>
      </c>
      <c r="O237" s="14"/>
      <c r="P237" s="12" t="s">
        <v>298</v>
      </c>
      <c r="Q237" s="12" t="s">
        <v>1023</v>
      </c>
      <c r="R237" s="12" t="s">
        <v>1024</v>
      </c>
    </row>
    <row r="238" customFormat="false" ht="30" hidden="false" customHeight="true" outlineLevel="0" collapsed="false">
      <c r="A238" s="12" t="s">
        <v>294</v>
      </c>
      <c r="B238" s="12" t="s">
        <v>1018</v>
      </c>
      <c r="C238" s="12" t="n">
        <v>3</v>
      </c>
      <c r="D238" s="13" t="str">
        <f aca="false">HYPERLINK(BaseURL&amp;"/proposals/bishop-ranch-br-3-gg-1vhh1z","Bishop Ranch - BR 3-GG")</f>
        <v>Bishop Ranch - BR 3-GG</v>
      </c>
      <c r="E238" s="12" t="s">
        <v>465</v>
      </c>
      <c r="F238" s="12" t="s">
        <v>86</v>
      </c>
      <c r="G238" s="12" t="s">
        <v>466</v>
      </c>
      <c r="H238" s="12" t="s">
        <v>83</v>
      </c>
      <c r="I238" s="14" t="s">
        <v>458</v>
      </c>
      <c r="J238" s="12" t="s">
        <v>1025</v>
      </c>
      <c r="K238" s="12" t="s">
        <v>467</v>
      </c>
      <c r="L238" s="12" t="s">
        <v>461</v>
      </c>
      <c r="M238" s="12" t="s">
        <v>472</v>
      </c>
      <c r="N238" s="14" t="s">
        <v>297</v>
      </c>
      <c r="O238" s="14"/>
      <c r="P238" s="12" t="s">
        <v>298</v>
      </c>
      <c r="Q238" s="12" t="s">
        <v>1026</v>
      </c>
      <c r="R238" s="12" t="s">
        <v>1027</v>
      </c>
    </row>
    <row r="239" customFormat="false" ht="30" hidden="false" customHeight="true" outlineLevel="0" collapsed="false">
      <c r="A239" s="12" t="s">
        <v>301</v>
      </c>
      <c r="B239" s="12" t="s">
        <v>1028</v>
      </c>
      <c r="C239" s="12" t="n">
        <v>1</v>
      </c>
      <c r="D239" s="13" t="str">
        <f aca="false">HYPERLINK(BaseURL&amp;"/proposals/sienna-solar-farm-y5pmp8","Sienna Solar Farm")</f>
        <v>Sienna Solar Farm</v>
      </c>
      <c r="E239" s="12" t="s">
        <v>39</v>
      </c>
      <c r="F239" s="12" t="s">
        <v>86</v>
      </c>
      <c r="G239" s="12" t="s">
        <v>457</v>
      </c>
      <c r="H239" s="12" t="s">
        <v>83</v>
      </c>
      <c r="I239" s="14" t="s">
        <v>458</v>
      </c>
      <c r="J239" s="12" t="s">
        <v>459</v>
      </c>
      <c r="K239" s="12" t="s">
        <v>467</v>
      </c>
      <c r="L239" s="12" t="s">
        <v>471</v>
      </c>
      <c r="M239" s="12" t="s">
        <v>472</v>
      </c>
      <c r="N239" s="14" t="s">
        <v>304</v>
      </c>
      <c r="O239" s="14"/>
      <c r="P239" s="12" t="s">
        <v>305</v>
      </c>
      <c r="Q239" s="12" t="s">
        <v>1029</v>
      </c>
      <c r="R239" s="12" t="s">
        <v>1030</v>
      </c>
    </row>
    <row r="240" customFormat="false" ht="30" hidden="false" customHeight="true" outlineLevel="0" collapsed="false">
      <c r="A240" s="12" t="s">
        <v>301</v>
      </c>
      <c r="B240" s="12" t="s">
        <v>1028</v>
      </c>
      <c r="C240" s="12" t="n">
        <v>2</v>
      </c>
      <c r="D240" s="13" t="str">
        <f aca="false">HYPERLINK(BaseURL&amp;"/proposals/sienna-solar-farm-nxx091","Sienna Solar Farm")</f>
        <v>Sienna Solar Farm</v>
      </c>
      <c r="E240" s="12" t="s">
        <v>465</v>
      </c>
      <c r="F240" s="12" t="s">
        <v>86</v>
      </c>
      <c r="G240" s="12" t="s">
        <v>466</v>
      </c>
      <c r="H240" s="12" t="s">
        <v>83</v>
      </c>
      <c r="I240" s="14" t="s">
        <v>458</v>
      </c>
      <c r="J240" s="12" t="s">
        <v>459</v>
      </c>
      <c r="K240" s="12" t="s">
        <v>460</v>
      </c>
      <c r="L240" s="12" t="s">
        <v>471</v>
      </c>
      <c r="M240" s="12" t="s">
        <v>472</v>
      </c>
      <c r="N240" s="14" t="s">
        <v>304</v>
      </c>
      <c r="O240" s="14"/>
      <c r="P240" s="12" t="s">
        <v>305</v>
      </c>
      <c r="Q240" s="12" t="s">
        <v>1031</v>
      </c>
      <c r="R240" s="12" t="s">
        <v>1032</v>
      </c>
    </row>
    <row r="241" customFormat="false" ht="30" hidden="false" customHeight="true" outlineLevel="0" collapsed="false">
      <c r="A241" s="12" t="s">
        <v>308</v>
      </c>
      <c r="B241" s="12" t="s">
        <v>1033</v>
      </c>
      <c r="C241" s="12" t="n">
        <v>1</v>
      </c>
      <c r="D241" s="13" t="str">
        <f aca="false">HYPERLINK(BaseURL&amp;"/proposals/frp-miller-solar-y0kz5c","FRP Miller Solar")</f>
        <v>FRP Miller Solar</v>
      </c>
      <c r="E241" s="12" t="s">
        <v>39</v>
      </c>
      <c r="F241" s="12" t="s">
        <v>86</v>
      </c>
      <c r="G241" s="12" t="s">
        <v>457</v>
      </c>
      <c r="H241" s="12" t="s">
        <v>83</v>
      </c>
      <c r="I241" s="14" t="s">
        <v>458</v>
      </c>
      <c r="J241" s="12" t="s">
        <v>1034</v>
      </c>
      <c r="K241" s="12" t="s">
        <v>467</v>
      </c>
      <c r="L241" s="12" t="s">
        <v>461</v>
      </c>
      <c r="M241" s="12" t="s">
        <v>1035</v>
      </c>
      <c r="N241" s="14" t="s">
        <v>311</v>
      </c>
      <c r="O241" s="14"/>
      <c r="P241" s="12" t="s">
        <v>312</v>
      </c>
      <c r="Q241" s="12" t="s">
        <v>1036</v>
      </c>
      <c r="R241" s="12" t="s">
        <v>1037</v>
      </c>
    </row>
    <row r="242" customFormat="false" ht="30" hidden="false" customHeight="true" outlineLevel="0" collapsed="false">
      <c r="A242" s="12" t="s">
        <v>308</v>
      </c>
      <c r="B242" s="12" t="s">
        <v>1033</v>
      </c>
      <c r="C242" s="12" t="n">
        <v>2</v>
      </c>
      <c r="D242" s="13" t="str">
        <f aca="false">HYPERLINK(BaseURL&amp;"/proposals/frp-miller-solar-gh43bh","FRP Miller Solar")</f>
        <v>FRP Miller Solar</v>
      </c>
      <c r="E242" s="12" t="s">
        <v>465</v>
      </c>
      <c r="F242" s="12" t="s">
        <v>86</v>
      </c>
      <c r="G242" s="12" t="s">
        <v>466</v>
      </c>
      <c r="H242" s="12" t="s">
        <v>83</v>
      </c>
      <c r="I242" s="14" t="s">
        <v>458</v>
      </c>
      <c r="J242" s="12" t="s">
        <v>795</v>
      </c>
      <c r="K242" s="12" t="s">
        <v>460</v>
      </c>
      <c r="L242" s="12" t="s">
        <v>461</v>
      </c>
      <c r="M242" s="12" t="s">
        <v>1035</v>
      </c>
      <c r="N242" s="14" t="s">
        <v>311</v>
      </c>
      <c r="O242" s="14"/>
      <c r="P242" s="12" t="s">
        <v>312</v>
      </c>
      <c r="Q242" s="12" t="s">
        <v>1038</v>
      </c>
      <c r="R242" s="12" t="s">
        <v>1039</v>
      </c>
    </row>
    <row r="243" customFormat="false" ht="30" hidden="false" customHeight="true" outlineLevel="0" collapsed="false">
      <c r="A243" s="12" t="s">
        <v>315</v>
      </c>
      <c r="B243" s="12" t="s">
        <v>1040</v>
      </c>
      <c r="C243" s="12" t="n">
        <v>1</v>
      </c>
      <c r="D243" s="13" t="str">
        <f aca="false">HYPERLINK(BaseURL&amp;"/proposals/clear-fork-creek-solar-and-bess-slf-g1myr3","Clear Fork Creek Solar and BESS SLF")</f>
        <v>Clear Fork Creek Solar and BESS SLF</v>
      </c>
      <c r="E243" s="12" t="s">
        <v>39</v>
      </c>
      <c r="F243" s="12" t="s">
        <v>86</v>
      </c>
      <c r="G243" s="12" t="s">
        <v>457</v>
      </c>
      <c r="H243" s="12" t="s">
        <v>83</v>
      </c>
      <c r="I243" s="14" t="s">
        <v>458</v>
      </c>
      <c r="J243" s="12" t="s">
        <v>1041</v>
      </c>
      <c r="K243" s="12" t="s">
        <v>460</v>
      </c>
      <c r="L243" s="12" t="s">
        <v>461</v>
      </c>
      <c r="M243" s="12" t="s">
        <v>480</v>
      </c>
      <c r="N243" s="14" t="s">
        <v>318</v>
      </c>
      <c r="O243" s="14"/>
      <c r="P243" s="12" t="s">
        <v>319</v>
      </c>
      <c r="Q243" s="12" t="s">
        <v>1042</v>
      </c>
      <c r="R243" s="12" t="s">
        <v>1043</v>
      </c>
    </row>
    <row r="244" customFormat="false" ht="30" hidden="false" customHeight="true" outlineLevel="0" collapsed="false">
      <c r="A244" s="12" t="s">
        <v>315</v>
      </c>
      <c r="B244" s="12" t="s">
        <v>1040</v>
      </c>
      <c r="C244" s="12" t="n">
        <v>2</v>
      </c>
      <c r="D244" s="13" t="str">
        <f aca="false">HYPERLINK(BaseURL&amp;"/proposals/clear-fork-creek-solar-and-bess-slf-mmjqv1","Clear Fork Creek Solar and BESS SLF")</f>
        <v>Clear Fork Creek Solar and BESS SLF</v>
      </c>
      <c r="E244" s="12" t="s">
        <v>465</v>
      </c>
      <c r="F244" s="12" t="s">
        <v>86</v>
      </c>
      <c r="G244" s="12" t="s">
        <v>466</v>
      </c>
      <c r="H244" s="12" t="s">
        <v>83</v>
      </c>
      <c r="I244" s="14" t="s">
        <v>458</v>
      </c>
      <c r="J244" s="12" t="s">
        <v>1041</v>
      </c>
      <c r="K244" s="12" t="s">
        <v>467</v>
      </c>
      <c r="L244" s="12" t="s">
        <v>461</v>
      </c>
      <c r="M244" s="12" t="s">
        <v>480</v>
      </c>
      <c r="N244" s="14" t="s">
        <v>318</v>
      </c>
      <c r="O244" s="14"/>
      <c r="P244" s="12" t="s">
        <v>319</v>
      </c>
      <c r="Q244" s="12" t="s">
        <v>1044</v>
      </c>
      <c r="R244" s="12" t="s">
        <v>1045</v>
      </c>
    </row>
    <row r="245" customFormat="false" ht="30" hidden="false" customHeight="true" outlineLevel="0" collapsed="false">
      <c r="A245" s="12" t="s">
        <v>322</v>
      </c>
      <c r="B245" s="12" t="s">
        <v>1046</v>
      </c>
      <c r="C245" s="12" t="n">
        <v>1</v>
      </c>
      <c r="D245" s="13" t="str">
        <f aca="false">HYPERLINK(BaseURL&amp;"/proposals/cuchillas-pv-and-bess-fqbq0v","Cuchillas PV and BESS")</f>
        <v>Cuchillas PV and BESS</v>
      </c>
      <c r="E245" s="12" t="s">
        <v>39</v>
      </c>
      <c r="F245" s="12" t="s">
        <v>86</v>
      </c>
      <c r="G245" s="12" t="s">
        <v>457</v>
      </c>
      <c r="H245" s="12" t="s">
        <v>83</v>
      </c>
      <c r="I245" s="14" t="s">
        <v>458</v>
      </c>
      <c r="J245" s="12" t="s">
        <v>1047</v>
      </c>
      <c r="K245" s="12" t="s">
        <v>460</v>
      </c>
      <c r="L245" s="12" t="s">
        <v>479</v>
      </c>
      <c r="M245" s="12" t="s">
        <v>480</v>
      </c>
      <c r="N245" s="14" t="s">
        <v>325</v>
      </c>
      <c r="O245" s="14"/>
      <c r="P245" s="12" t="s">
        <v>326</v>
      </c>
      <c r="Q245" s="12" t="s">
        <v>1048</v>
      </c>
      <c r="R245" s="12" t="s">
        <v>1049</v>
      </c>
    </row>
    <row r="246" customFormat="false" ht="30" hidden="false" customHeight="true" outlineLevel="0" collapsed="false">
      <c r="A246" s="12" t="s">
        <v>322</v>
      </c>
      <c r="B246" s="12" t="s">
        <v>1046</v>
      </c>
      <c r="C246" s="12" t="n">
        <v>2</v>
      </c>
      <c r="D246" s="13" t="str">
        <f aca="false">HYPERLINK(BaseURL&amp;"/proposals/cuchillas-pv-and-bess-hv12bd","Cuchillas PV and BESS")</f>
        <v>Cuchillas PV and BESS</v>
      </c>
      <c r="E246" s="12" t="s">
        <v>465</v>
      </c>
      <c r="F246" s="12" t="s">
        <v>86</v>
      </c>
      <c r="G246" s="12" t="s">
        <v>466</v>
      </c>
      <c r="H246" s="12" t="s">
        <v>83</v>
      </c>
      <c r="I246" s="14" t="s">
        <v>458</v>
      </c>
      <c r="J246" s="12" t="s">
        <v>1050</v>
      </c>
      <c r="K246" s="12" t="s">
        <v>467</v>
      </c>
      <c r="L246" s="12" t="s">
        <v>479</v>
      </c>
      <c r="M246" s="12" t="s">
        <v>480</v>
      </c>
      <c r="N246" s="14" t="s">
        <v>325</v>
      </c>
      <c r="O246" s="14"/>
      <c r="P246" s="12" t="s">
        <v>326</v>
      </c>
      <c r="Q246" s="12" t="s">
        <v>1051</v>
      </c>
      <c r="R246" s="12" t="s">
        <v>1052</v>
      </c>
    </row>
    <row r="247" customFormat="false" ht="30" hidden="false" customHeight="true" outlineLevel="0" collapsed="false">
      <c r="A247" s="12" t="s">
        <v>329</v>
      </c>
      <c r="B247" s="12" t="s">
        <v>1053</v>
      </c>
      <c r="C247" s="12" t="n">
        <v>1</v>
      </c>
      <c r="D247" s="13" t="str">
        <f aca="false">HYPERLINK(BaseURL&amp;"/proposals/grand-valley-solar-generation-and-bess-6j9k9w","Grand Valley Solar Generation and BESS")</f>
        <v>Grand Valley Solar Generation and BESS</v>
      </c>
      <c r="E247" s="12" t="s">
        <v>39</v>
      </c>
      <c r="F247" s="12" t="s">
        <v>86</v>
      </c>
      <c r="G247" s="12" t="s">
        <v>457</v>
      </c>
      <c r="H247" s="12" t="s">
        <v>83</v>
      </c>
      <c r="I247" s="14" t="s">
        <v>458</v>
      </c>
      <c r="J247" s="12" t="s">
        <v>1006</v>
      </c>
      <c r="K247" s="12" t="s">
        <v>467</v>
      </c>
      <c r="L247" s="12" t="s">
        <v>479</v>
      </c>
      <c r="M247" s="12" t="s">
        <v>972</v>
      </c>
      <c r="N247" s="14" t="s">
        <v>332</v>
      </c>
      <c r="O247" s="14"/>
      <c r="P247" s="12" t="s">
        <v>333</v>
      </c>
      <c r="Q247" s="12" t="s">
        <v>1054</v>
      </c>
      <c r="R247" s="12" t="s">
        <v>1055</v>
      </c>
    </row>
    <row r="248" customFormat="false" ht="30" hidden="false" customHeight="true" outlineLevel="0" collapsed="false">
      <c r="A248" s="12" t="s">
        <v>329</v>
      </c>
      <c r="B248" s="12" t="s">
        <v>1053</v>
      </c>
      <c r="C248" s="12" t="n">
        <v>2</v>
      </c>
      <c r="D248" s="13" t="str">
        <f aca="false">HYPERLINK(BaseURL&amp;"/proposals/grand-valley-solar-generation-and-bess-yqqm5e","Grand Valley Solar Generation and BESS")</f>
        <v>Grand Valley Solar Generation and BESS</v>
      </c>
      <c r="E248" s="12" t="s">
        <v>465</v>
      </c>
      <c r="F248" s="12" t="s">
        <v>86</v>
      </c>
      <c r="G248" s="12" t="s">
        <v>466</v>
      </c>
      <c r="H248" s="12" t="s">
        <v>83</v>
      </c>
      <c r="I248" s="14" t="s">
        <v>458</v>
      </c>
      <c r="J248" s="12" t="s">
        <v>1006</v>
      </c>
      <c r="K248" s="12" t="s">
        <v>460</v>
      </c>
      <c r="L248" s="12" t="s">
        <v>479</v>
      </c>
      <c r="M248" s="12" t="s">
        <v>972</v>
      </c>
      <c r="N248" s="14" t="s">
        <v>332</v>
      </c>
      <c r="O248" s="14"/>
      <c r="P248" s="12" t="s">
        <v>333</v>
      </c>
      <c r="Q248" s="12" t="s">
        <v>1056</v>
      </c>
      <c r="R248" s="12" t="s">
        <v>1057</v>
      </c>
    </row>
    <row r="249" customFormat="false" ht="30" hidden="false" customHeight="true" outlineLevel="0" collapsed="false">
      <c r="A249" s="12" t="s">
        <v>336</v>
      </c>
      <c r="B249" s="12" t="s">
        <v>339</v>
      </c>
      <c r="C249" s="12" t="n">
        <v>1</v>
      </c>
      <c r="D249" s="13" t="str">
        <f aca="false">HYPERLINK(BaseURL&amp;"/proposals/sacramento-valley-energy-center-llc-bmyb52","Sacramento Valley Energy Center, LLC")</f>
        <v>Sacramento Valley Energy Center, LLC</v>
      </c>
      <c r="E249" s="12" t="s">
        <v>39</v>
      </c>
      <c r="F249" s="12" t="s">
        <v>86</v>
      </c>
      <c r="G249" s="12" t="s">
        <v>457</v>
      </c>
      <c r="H249" s="12" t="s">
        <v>83</v>
      </c>
      <c r="I249" s="14" t="s">
        <v>458</v>
      </c>
      <c r="J249" s="12" t="s">
        <v>459</v>
      </c>
      <c r="K249" s="12" t="s">
        <v>467</v>
      </c>
      <c r="L249" s="12" t="s">
        <v>461</v>
      </c>
      <c r="M249" s="12" t="s">
        <v>472</v>
      </c>
      <c r="N249" s="14" t="s">
        <v>339</v>
      </c>
      <c r="O249" s="14"/>
      <c r="P249" s="12" t="s">
        <v>340</v>
      </c>
      <c r="Q249" s="12" t="s">
        <v>1058</v>
      </c>
      <c r="R249" s="12" t="s">
        <v>1059</v>
      </c>
    </row>
    <row r="250" customFormat="false" ht="30" hidden="false" customHeight="true" outlineLevel="0" collapsed="false">
      <c r="A250" s="12" t="s">
        <v>336</v>
      </c>
      <c r="B250" s="12" t="s">
        <v>339</v>
      </c>
      <c r="C250" s="12" t="n">
        <v>2</v>
      </c>
      <c r="D250" s="13" t="str">
        <f aca="false">HYPERLINK(BaseURL&amp;"/proposals/sacramento-valley-energy-center-llc-eqhc7m","Sacramento Valley Energy Center, LLC")</f>
        <v>Sacramento Valley Energy Center, LLC</v>
      </c>
      <c r="E250" s="12" t="s">
        <v>465</v>
      </c>
      <c r="F250" s="12" t="s">
        <v>86</v>
      </c>
      <c r="G250" s="12" t="s">
        <v>466</v>
      </c>
      <c r="H250" s="12" t="s">
        <v>83</v>
      </c>
      <c r="I250" s="14" t="s">
        <v>458</v>
      </c>
      <c r="J250" s="12" t="s">
        <v>1006</v>
      </c>
      <c r="K250" s="12" t="s">
        <v>460</v>
      </c>
      <c r="L250" s="12" t="s">
        <v>461</v>
      </c>
      <c r="M250" s="12" t="s">
        <v>472</v>
      </c>
      <c r="N250" s="14" t="s">
        <v>339</v>
      </c>
      <c r="O250" s="14"/>
      <c r="P250" s="12" t="s">
        <v>340</v>
      </c>
      <c r="Q250" s="12" t="s">
        <v>1060</v>
      </c>
      <c r="R250" s="12" t="s">
        <v>1061</v>
      </c>
    </row>
    <row r="251" customFormat="false" ht="30" hidden="false" customHeight="true" outlineLevel="0" collapsed="false">
      <c r="A251" s="12" t="s">
        <v>343</v>
      </c>
      <c r="B251" s="12" t="s">
        <v>1062</v>
      </c>
      <c r="C251" s="12" t="n">
        <v>1</v>
      </c>
      <c r="D251" s="13" t="str">
        <f aca="false">HYPERLINK(BaseURL&amp;"/proposals/fish-lake-geothermal-wa6cnt","Fish Lake Geothermal")</f>
        <v>Fish Lake Geothermal</v>
      </c>
      <c r="E251" s="12" t="s">
        <v>39</v>
      </c>
      <c r="F251" s="12" t="s">
        <v>86</v>
      </c>
      <c r="G251" s="12" t="s">
        <v>457</v>
      </c>
      <c r="H251" s="12" t="s">
        <v>83</v>
      </c>
      <c r="I251" s="14" t="s">
        <v>458</v>
      </c>
      <c r="J251" s="12" t="s">
        <v>1063</v>
      </c>
      <c r="K251" s="12" t="s">
        <v>1064</v>
      </c>
      <c r="L251" s="12" t="s">
        <v>471</v>
      </c>
      <c r="M251" s="12" t="s">
        <v>503</v>
      </c>
      <c r="N251" s="14" t="s">
        <v>346</v>
      </c>
      <c r="O251" s="14"/>
      <c r="P251" s="12" t="s">
        <v>347</v>
      </c>
      <c r="Q251" s="12" t="s">
        <v>1065</v>
      </c>
      <c r="R251" s="12" t="s">
        <v>1066</v>
      </c>
    </row>
    <row r="252" customFormat="false" ht="30" hidden="false" customHeight="true" outlineLevel="0" collapsed="false">
      <c r="A252" s="12" t="s">
        <v>343</v>
      </c>
      <c r="B252" s="12" t="s">
        <v>1062</v>
      </c>
      <c r="C252" s="12" t="n">
        <v>2</v>
      </c>
      <c r="D252" s="13" t="str">
        <f aca="false">HYPERLINK(BaseURL&amp;"/proposals/fish-lake-geothermal-0f88et","Fish Lake Geothermal")</f>
        <v>Fish Lake Geothermal</v>
      </c>
      <c r="E252" s="12" t="s">
        <v>465</v>
      </c>
      <c r="F252" s="12" t="s">
        <v>86</v>
      </c>
      <c r="G252" s="12" t="s">
        <v>466</v>
      </c>
      <c r="H252" s="12" t="s">
        <v>83</v>
      </c>
      <c r="I252" s="14" t="s">
        <v>458</v>
      </c>
      <c r="J252" s="12" t="s">
        <v>1067</v>
      </c>
      <c r="K252" s="12" t="s">
        <v>1064</v>
      </c>
      <c r="L252" s="12" t="s">
        <v>471</v>
      </c>
      <c r="M252" s="12" t="s">
        <v>503</v>
      </c>
      <c r="N252" s="14" t="s">
        <v>346</v>
      </c>
      <c r="O252" s="14"/>
      <c r="P252" s="12" t="s">
        <v>347</v>
      </c>
      <c r="Q252" s="12" t="s">
        <v>1068</v>
      </c>
      <c r="R252" s="12" t="s">
        <v>1069</v>
      </c>
    </row>
    <row r="253" customFormat="false" ht="30" hidden="false" customHeight="true" outlineLevel="0" collapsed="false">
      <c r="A253" s="12" t="s">
        <v>343</v>
      </c>
      <c r="B253" s="12" t="s">
        <v>1062</v>
      </c>
      <c r="C253" s="12" t="n">
        <v>3</v>
      </c>
      <c r="D253" s="13" t="str">
        <f aca="false">HYPERLINK(BaseURL&amp;"/proposals/fish-lake-geothermal-e1mj3d","Fish Lake Geothermal")</f>
        <v>Fish Lake Geothermal</v>
      </c>
      <c r="E253" s="12" t="s">
        <v>465</v>
      </c>
      <c r="F253" s="12" t="s">
        <v>86</v>
      </c>
      <c r="G253" s="12" t="s">
        <v>466</v>
      </c>
      <c r="H253" s="12" t="s">
        <v>83</v>
      </c>
      <c r="I253" s="14" t="s">
        <v>458</v>
      </c>
      <c r="J253" s="12" t="s">
        <v>1070</v>
      </c>
      <c r="K253" s="12" t="s">
        <v>1064</v>
      </c>
      <c r="L253" s="12" t="s">
        <v>471</v>
      </c>
      <c r="M253" s="12" t="s">
        <v>503</v>
      </c>
      <c r="N253" s="14" t="s">
        <v>346</v>
      </c>
      <c r="O253" s="14"/>
      <c r="P253" s="12" t="s">
        <v>347</v>
      </c>
      <c r="Q253" s="12" t="s">
        <v>1071</v>
      </c>
      <c r="R253" s="12" t="s">
        <v>1072</v>
      </c>
    </row>
    <row r="254" customFormat="false" ht="30" hidden="false" customHeight="true" outlineLevel="0" collapsed="false">
      <c r="A254" s="12" t="s">
        <v>343</v>
      </c>
      <c r="B254" s="12" t="s">
        <v>1062</v>
      </c>
      <c r="C254" s="12" t="n">
        <v>4</v>
      </c>
      <c r="D254" s="13" t="str">
        <f aca="false">HYPERLINK(BaseURL&amp;"/proposals/fish-lake-geothermal-3csz9e","Fish Lake Geothermal")</f>
        <v>Fish Lake Geothermal</v>
      </c>
      <c r="E254" s="12" t="s">
        <v>465</v>
      </c>
      <c r="F254" s="12" t="s">
        <v>86</v>
      </c>
      <c r="G254" s="12" t="s">
        <v>466</v>
      </c>
      <c r="H254" s="12" t="s">
        <v>83</v>
      </c>
      <c r="I254" s="14" t="s">
        <v>458</v>
      </c>
      <c r="J254" s="12" t="s">
        <v>1073</v>
      </c>
      <c r="K254" s="12" t="s">
        <v>1064</v>
      </c>
      <c r="L254" s="12" t="s">
        <v>471</v>
      </c>
      <c r="M254" s="12" t="s">
        <v>503</v>
      </c>
      <c r="N254" s="14" t="s">
        <v>346</v>
      </c>
      <c r="O254" s="14"/>
      <c r="P254" s="12" t="s">
        <v>347</v>
      </c>
      <c r="Q254" s="12" t="s">
        <v>1074</v>
      </c>
      <c r="R254" s="12" t="s">
        <v>1075</v>
      </c>
    </row>
    <row r="255" customFormat="false" ht="30" hidden="false" customHeight="true" outlineLevel="0" collapsed="false">
      <c r="A255" s="12" t="s">
        <v>343</v>
      </c>
      <c r="B255" s="12" t="s">
        <v>1062</v>
      </c>
      <c r="C255" s="12" t="n">
        <v>5</v>
      </c>
      <c r="D255" s="13" t="str">
        <f aca="false">HYPERLINK(BaseURL&amp;"/proposals/fish-lake-geothermal-ep4442","Fish Lake Geothermal")</f>
        <v>Fish Lake Geothermal</v>
      </c>
      <c r="E255" s="12" t="s">
        <v>465</v>
      </c>
      <c r="F255" s="12" t="s">
        <v>86</v>
      </c>
      <c r="G255" s="12" t="s">
        <v>466</v>
      </c>
      <c r="H255" s="12" t="s">
        <v>83</v>
      </c>
      <c r="I255" s="14" t="s">
        <v>458</v>
      </c>
      <c r="J255" s="12" t="s">
        <v>1073</v>
      </c>
      <c r="K255" s="12" t="s">
        <v>1064</v>
      </c>
      <c r="L255" s="12" t="s">
        <v>471</v>
      </c>
      <c r="M255" s="12" t="s">
        <v>503</v>
      </c>
      <c r="N255" s="14" t="s">
        <v>346</v>
      </c>
      <c r="O255" s="14"/>
      <c r="P255" s="12" t="s">
        <v>347</v>
      </c>
      <c r="Q255" s="12" t="s">
        <v>1076</v>
      </c>
      <c r="R255" s="12" t="s">
        <v>1077</v>
      </c>
    </row>
    <row r="256" customFormat="false" ht="30" hidden="false" customHeight="true" outlineLevel="0" collapsed="false">
      <c r="A256" s="12" t="s">
        <v>350</v>
      </c>
      <c r="B256" s="12" t="s">
        <v>1078</v>
      </c>
      <c r="C256" s="12" t="n">
        <v>1</v>
      </c>
      <c r="D256" s="13" t="str">
        <f aca="false">HYPERLINK(BaseURL&amp;"/proposals/lupinus-solar-1-llc-prsfrz","Lupinus Solar 1, LLC")</f>
        <v>Lupinus Solar 1, LLC</v>
      </c>
      <c r="E256" s="12" t="s">
        <v>39</v>
      </c>
      <c r="F256" s="12" t="s">
        <v>86</v>
      </c>
      <c r="G256" s="12" t="s">
        <v>457</v>
      </c>
      <c r="H256" s="12" t="s">
        <v>83</v>
      </c>
      <c r="I256" s="14" t="s">
        <v>458</v>
      </c>
      <c r="J256" s="12" t="s">
        <v>1079</v>
      </c>
      <c r="K256" s="12" t="s">
        <v>467</v>
      </c>
      <c r="L256" s="12" t="s">
        <v>471</v>
      </c>
      <c r="M256" s="12" t="s">
        <v>480</v>
      </c>
      <c r="N256" s="14" t="s">
        <v>353</v>
      </c>
      <c r="O256" s="14"/>
      <c r="P256" s="12" t="s">
        <v>354</v>
      </c>
      <c r="Q256" s="12" t="s">
        <v>1080</v>
      </c>
      <c r="R256" s="12" t="s">
        <v>1081</v>
      </c>
    </row>
    <row r="257" customFormat="false" ht="30" hidden="false" customHeight="true" outlineLevel="0" collapsed="false">
      <c r="A257" s="12" t="s">
        <v>350</v>
      </c>
      <c r="B257" s="12" t="s">
        <v>1078</v>
      </c>
      <c r="C257" s="12" t="n">
        <v>2</v>
      </c>
      <c r="D257" s="13" t="str">
        <f aca="false">HYPERLINK(BaseURL&amp;"/proposals/lupinus-solar-1-llc-grerbw","Lupinus Solar 1, LLC")</f>
        <v>Lupinus Solar 1, LLC</v>
      </c>
      <c r="E257" s="12" t="s">
        <v>465</v>
      </c>
      <c r="F257" s="12" t="s">
        <v>86</v>
      </c>
      <c r="G257" s="12" t="s">
        <v>466</v>
      </c>
      <c r="H257" s="12" t="s">
        <v>83</v>
      </c>
      <c r="I257" s="14" t="s">
        <v>458</v>
      </c>
      <c r="J257" s="12" t="s">
        <v>1082</v>
      </c>
      <c r="K257" s="12" t="s">
        <v>460</v>
      </c>
      <c r="L257" s="12" t="s">
        <v>471</v>
      </c>
      <c r="M257" s="12" t="s">
        <v>480</v>
      </c>
      <c r="N257" s="14" t="s">
        <v>353</v>
      </c>
      <c r="O257" s="14"/>
      <c r="P257" s="12" t="s">
        <v>354</v>
      </c>
      <c r="Q257" s="12" t="s">
        <v>1083</v>
      </c>
      <c r="R257" s="12" t="s">
        <v>1084</v>
      </c>
    </row>
    <row r="258" customFormat="false" ht="30" hidden="false" customHeight="true" outlineLevel="0" collapsed="false">
      <c r="A258" s="12" t="s">
        <v>357</v>
      </c>
      <c r="B258" s="12" t="s">
        <v>1085</v>
      </c>
      <c r="C258" s="12" t="n">
        <v>1</v>
      </c>
      <c r="D258" s="13" t="str">
        <f aca="false">HYPERLINK(BaseURL&amp;"/proposals/lange-generating-station-1k3cvr","Lange Generating Station")</f>
        <v>Lange Generating Station</v>
      </c>
      <c r="E258" s="12" t="s">
        <v>39</v>
      </c>
      <c r="F258" s="12" t="s">
        <v>86</v>
      </c>
      <c r="G258" s="12" t="s">
        <v>457</v>
      </c>
      <c r="H258" s="12" t="s">
        <v>83</v>
      </c>
      <c r="I258" s="14" t="s">
        <v>458</v>
      </c>
      <c r="J258" s="12" t="s">
        <v>1086</v>
      </c>
      <c r="K258" s="12" t="s">
        <v>1087</v>
      </c>
      <c r="L258" s="12" t="s">
        <v>461</v>
      </c>
      <c r="M258" s="12" t="s">
        <v>1088</v>
      </c>
      <c r="N258" s="14" t="s">
        <v>360</v>
      </c>
      <c r="O258" s="14"/>
      <c r="P258" s="12" t="s">
        <v>361</v>
      </c>
      <c r="Q258" s="12" t="s">
        <v>1089</v>
      </c>
      <c r="R258" s="12" t="s">
        <v>1090</v>
      </c>
    </row>
    <row r="259" customFormat="false" ht="30" hidden="false" customHeight="true" outlineLevel="0" collapsed="false">
      <c r="A259" s="12" t="s">
        <v>357</v>
      </c>
      <c r="B259" s="12" t="s">
        <v>1085</v>
      </c>
      <c r="C259" s="12" t="n">
        <v>2</v>
      </c>
      <c r="D259" s="13" t="str">
        <f aca="false">HYPERLINK(BaseURL&amp;"/proposals/lange-generating-station-5emv96","Lange Generating Station")</f>
        <v>Lange Generating Station</v>
      </c>
      <c r="E259" s="12" t="s">
        <v>465</v>
      </c>
      <c r="F259" s="12" t="s">
        <v>86</v>
      </c>
      <c r="G259" s="12" t="s">
        <v>466</v>
      </c>
      <c r="H259" s="12" t="s">
        <v>83</v>
      </c>
      <c r="I259" s="14" t="s">
        <v>458</v>
      </c>
      <c r="J259" s="12" t="s">
        <v>1086</v>
      </c>
      <c r="K259" s="12" t="s">
        <v>1087</v>
      </c>
      <c r="L259" s="12" t="s">
        <v>461</v>
      </c>
      <c r="M259" s="12" t="s">
        <v>1088</v>
      </c>
      <c r="N259" s="14" t="s">
        <v>360</v>
      </c>
      <c r="O259" s="14"/>
      <c r="P259" s="12" t="s">
        <v>361</v>
      </c>
      <c r="Q259" s="12" t="s">
        <v>1091</v>
      </c>
      <c r="R259" s="12" t="s">
        <v>1092</v>
      </c>
    </row>
    <row r="260" customFormat="false" ht="30" hidden="false" customHeight="true" outlineLevel="0" collapsed="false">
      <c r="A260" s="12" t="s">
        <v>357</v>
      </c>
      <c r="B260" s="12" t="s">
        <v>1085</v>
      </c>
      <c r="C260" s="12" t="n">
        <v>3</v>
      </c>
      <c r="D260" s="13" t="str">
        <f aca="false">HYPERLINK(BaseURL&amp;"/proposals/lange-generating-station-fga1zk","Lange Generating Station")</f>
        <v>Lange Generating Station</v>
      </c>
      <c r="E260" s="12" t="s">
        <v>465</v>
      </c>
      <c r="F260" s="12" t="s">
        <v>86</v>
      </c>
      <c r="G260" s="12" t="s">
        <v>466</v>
      </c>
      <c r="H260" s="12" t="s">
        <v>83</v>
      </c>
      <c r="I260" s="14" t="s">
        <v>458</v>
      </c>
      <c r="J260" s="12" t="s">
        <v>1086</v>
      </c>
      <c r="K260" s="12" t="s">
        <v>1087</v>
      </c>
      <c r="L260" s="12" t="s">
        <v>461</v>
      </c>
      <c r="M260" s="12" t="s">
        <v>1088</v>
      </c>
      <c r="N260" s="14" t="s">
        <v>360</v>
      </c>
      <c r="O260" s="14"/>
      <c r="P260" s="12" t="s">
        <v>361</v>
      </c>
      <c r="Q260" s="12" t="s">
        <v>1093</v>
      </c>
      <c r="R260" s="12" t="s">
        <v>1094</v>
      </c>
    </row>
    <row r="261" customFormat="false" ht="30" hidden="false" customHeight="true" outlineLevel="0" collapsed="false">
      <c r="A261" s="12" t="s">
        <v>357</v>
      </c>
      <c r="B261" s="12" t="s">
        <v>1085</v>
      </c>
      <c r="C261" s="12" t="n">
        <v>4</v>
      </c>
      <c r="D261" s="13" t="str">
        <f aca="false">HYPERLINK(BaseURL&amp;"/proposals/lange-generating-station-1ntdyw","Lange Generating Station")</f>
        <v>Lange Generating Station</v>
      </c>
      <c r="E261" s="12" t="s">
        <v>465</v>
      </c>
      <c r="F261" s="12" t="s">
        <v>86</v>
      </c>
      <c r="G261" s="12" t="s">
        <v>466</v>
      </c>
      <c r="H261" s="12" t="s">
        <v>83</v>
      </c>
      <c r="I261" s="14" t="s">
        <v>458</v>
      </c>
      <c r="J261" s="12" t="s">
        <v>1086</v>
      </c>
      <c r="K261" s="12" t="s">
        <v>1087</v>
      </c>
      <c r="L261" s="12" t="s">
        <v>461</v>
      </c>
      <c r="M261" s="12" t="s">
        <v>1088</v>
      </c>
      <c r="N261" s="14" t="s">
        <v>360</v>
      </c>
      <c r="O261" s="14"/>
      <c r="P261" s="12" t="s">
        <v>361</v>
      </c>
      <c r="Q261" s="12" t="s">
        <v>1095</v>
      </c>
      <c r="R261" s="12" t="s">
        <v>1096</v>
      </c>
    </row>
    <row r="262" customFormat="false" ht="30" hidden="false" customHeight="true" outlineLevel="0" collapsed="false">
      <c r="A262" s="12" t="s">
        <v>357</v>
      </c>
      <c r="B262" s="12" t="s">
        <v>1085</v>
      </c>
      <c r="C262" s="12" t="n">
        <v>5</v>
      </c>
      <c r="D262" s="13" t="str">
        <f aca="false">HYPERLINK(BaseURL&amp;"/proposals/lange-generating-station-6x2veg","Lange Generating Station")</f>
        <v>Lange Generating Station</v>
      </c>
      <c r="E262" s="12" t="s">
        <v>465</v>
      </c>
      <c r="F262" s="12" t="s">
        <v>86</v>
      </c>
      <c r="G262" s="12" t="s">
        <v>466</v>
      </c>
      <c r="H262" s="12" t="s">
        <v>83</v>
      </c>
      <c r="I262" s="14" t="s">
        <v>458</v>
      </c>
      <c r="J262" s="12" t="s">
        <v>1086</v>
      </c>
      <c r="K262" s="12" t="s">
        <v>1087</v>
      </c>
      <c r="L262" s="12" t="s">
        <v>461</v>
      </c>
      <c r="M262" s="12" t="s">
        <v>1088</v>
      </c>
      <c r="N262" s="14" t="s">
        <v>360</v>
      </c>
      <c r="O262" s="14"/>
      <c r="P262" s="12" t="s">
        <v>361</v>
      </c>
      <c r="Q262" s="12" t="s">
        <v>1097</v>
      </c>
      <c r="R262" s="12" t="s">
        <v>1098</v>
      </c>
    </row>
    <row r="263" customFormat="false" ht="30" hidden="false" customHeight="true" outlineLevel="0" collapsed="false">
      <c r="A263" s="12" t="s">
        <v>357</v>
      </c>
      <c r="B263" s="12" t="s">
        <v>1085</v>
      </c>
      <c r="C263" s="12" t="n">
        <v>6</v>
      </c>
      <c r="D263" s="13" t="str">
        <f aca="false">HYPERLINK(BaseURL&amp;"/proposals/lange-generating-station-akj4fg","Lange Generating Station")</f>
        <v>Lange Generating Station</v>
      </c>
      <c r="E263" s="12" t="s">
        <v>465</v>
      </c>
      <c r="F263" s="12" t="s">
        <v>86</v>
      </c>
      <c r="G263" s="12" t="s">
        <v>466</v>
      </c>
      <c r="H263" s="12" t="s">
        <v>83</v>
      </c>
      <c r="I263" s="14" t="s">
        <v>458</v>
      </c>
      <c r="J263" s="12" t="s">
        <v>1086</v>
      </c>
      <c r="K263" s="12" t="s">
        <v>1087</v>
      </c>
      <c r="L263" s="12" t="s">
        <v>461</v>
      </c>
      <c r="M263" s="12" t="s">
        <v>1088</v>
      </c>
      <c r="N263" s="14" t="s">
        <v>360</v>
      </c>
      <c r="O263" s="14"/>
      <c r="P263" s="12" t="s">
        <v>361</v>
      </c>
      <c r="Q263" s="12" t="s">
        <v>1099</v>
      </c>
      <c r="R263" s="12" t="s">
        <v>1100</v>
      </c>
    </row>
    <row r="264" customFormat="false" ht="30" hidden="false" customHeight="true" outlineLevel="0" collapsed="false">
      <c r="A264" s="12" t="s">
        <v>364</v>
      </c>
      <c r="B264" s="12" t="s">
        <v>1101</v>
      </c>
      <c r="C264" s="12" t="n">
        <v>1</v>
      </c>
      <c r="D264" s="13" t="str">
        <f aca="false">HYPERLINK(BaseURL&amp;"/proposals/ntec-gas-plant-stgkf7","NTEC Gas Plant")</f>
        <v>NTEC Gas Plant</v>
      </c>
      <c r="E264" s="12" t="s">
        <v>39</v>
      </c>
      <c r="F264" s="12" t="s">
        <v>86</v>
      </c>
      <c r="G264" s="12" t="s">
        <v>457</v>
      </c>
      <c r="H264" s="12" t="s">
        <v>83</v>
      </c>
      <c r="I264" s="14" t="s">
        <v>458</v>
      </c>
      <c r="J264" s="12" t="s">
        <v>1102</v>
      </c>
      <c r="K264" s="12" t="s">
        <v>487</v>
      </c>
      <c r="L264" s="12" t="s">
        <v>479</v>
      </c>
      <c r="M264" s="12" t="s">
        <v>1007</v>
      </c>
      <c r="N264" s="14" t="s">
        <v>367</v>
      </c>
      <c r="O264" s="14"/>
      <c r="P264" s="12" t="s">
        <v>368</v>
      </c>
      <c r="Q264" s="12" t="s">
        <v>1103</v>
      </c>
      <c r="R264" s="12" t="s">
        <v>1104</v>
      </c>
    </row>
    <row r="265" customFormat="false" ht="30" hidden="false" customHeight="true" outlineLevel="0" collapsed="false">
      <c r="A265" s="12" t="s">
        <v>364</v>
      </c>
      <c r="B265" s="12" t="s">
        <v>1101</v>
      </c>
      <c r="C265" s="12" t="n">
        <v>2</v>
      </c>
      <c r="D265" s="13" t="str">
        <f aca="false">HYPERLINK(BaseURL&amp;"/proposals/ntec-gas-plant-p53rr9","NTEC Gas Plant")</f>
        <v>NTEC Gas Plant</v>
      </c>
      <c r="E265" s="12" t="s">
        <v>465</v>
      </c>
      <c r="F265" s="12" t="s">
        <v>86</v>
      </c>
      <c r="G265" s="12" t="s">
        <v>466</v>
      </c>
      <c r="H265" s="12" t="s">
        <v>83</v>
      </c>
      <c r="I265" s="14" t="s">
        <v>458</v>
      </c>
      <c r="J265" s="12" t="s">
        <v>1102</v>
      </c>
      <c r="K265" s="12" t="s">
        <v>487</v>
      </c>
      <c r="L265" s="12" t="s">
        <v>479</v>
      </c>
      <c r="M265" s="12" t="s">
        <v>1007</v>
      </c>
      <c r="N265" s="14" t="s">
        <v>367</v>
      </c>
      <c r="O265" s="14"/>
      <c r="P265" s="12" t="s">
        <v>368</v>
      </c>
      <c r="Q265" s="12" t="s">
        <v>1105</v>
      </c>
      <c r="R265" s="12" t="s">
        <v>1106</v>
      </c>
    </row>
    <row r="266" customFormat="false" ht="30" hidden="false" customHeight="true" outlineLevel="0" collapsed="false">
      <c r="A266" s="12" t="s">
        <v>364</v>
      </c>
      <c r="B266" s="12" t="s">
        <v>1101</v>
      </c>
      <c r="C266" s="12" t="n">
        <v>3</v>
      </c>
      <c r="D266" s="13" t="str">
        <f aca="false">HYPERLINK(BaseURL&amp;"/proposals/ntec-gas-plant-qwzmcv","NTEC Gas Plant")</f>
        <v>NTEC Gas Plant</v>
      </c>
      <c r="E266" s="12" t="s">
        <v>465</v>
      </c>
      <c r="F266" s="12" t="s">
        <v>86</v>
      </c>
      <c r="G266" s="12" t="s">
        <v>466</v>
      </c>
      <c r="H266" s="12" t="s">
        <v>83</v>
      </c>
      <c r="I266" s="14" t="s">
        <v>458</v>
      </c>
      <c r="J266" s="12" t="s">
        <v>1102</v>
      </c>
      <c r="K266" s="12" t="s">
        <v>487</v>
      </c>
      <c r="L266" s="12" t="s">
        <v>479</v>
      </c>
      <c r="M266" s="12" t="s">
        <v>1007</v>
      </c>
      <c r="N266" s="14" t="s">
        <v>367</v>
      </c>
      <c r="O266" s="14"/>
      <c r="P266" s="12" t="s">
        <v>368</v>
      </c>
      <c r="Q266" s="12" t="s">
        <v>1107</v>
      </c>
      <c r="R266" s="12" t="s">
        <v>1108</v>
      </c>
    </row>
    <row r="267" customFormat="false" ht="30" hidden="false" customHeight="true" outlineLevel="0" collapsed="false">
      <c r="A267" s="12" t="s">
        <v>364</v>
      </c>
      <c r="B267" s="12" t="s">
        <v>1101</v>
      </c>
      <c r="C267" s="12" t="n">
        <v>4</v>
      </c>
      <c r="D267" s="13" t="str">
        <f aca="false">HYPERLINK(BaseURL&amp;"/proposals/ntec-gas-plant-5whjwn","NTEC Gas Plant")</f>
        <v>NTEC Gas Plant</v>
      </c>
      <c r="E267" s="12" t="s">
        <v>465</v>
      </c>
      <c r="F267" s="12" t="s">
        <v>86</v>
      </c>
      <c r="G267" s="12" t="s">
        <v>466</v>
      </c>
      <c r="H267" s="12" t="s">
        <v>83</v>
      </c>
      <c r="I267" s="14" t="s">
        <v>458</v>
      </c>
      <c r="J267" s="12" t="s">
        <v>1102</v>
      </c>
      <c r="K267" s="12" t="s">
        <v>487</v>
      </c>
      <c r="L267" s="12" t="s">
        <v>479</v>
      </c>
      <c r="M267" s="12" t="s">
        <v>1007</v>
      </c>
      <c r="N267" s="14" t="s">
        <v>367</v>
      </c>
      <c r="O267" s="14"/>
      <c r="P267" s="12" t="s">
        <v>368</v>
      </c>
      <c r="Q267" s="12" t="s">
        <v>1109</v>
      </c>
      <c r="R267" s="12" t="s">
        <v>1110</v>
      </c>
    </row>
    <row r="268" customFormat="false" ht="30" hidden="false" customHeight="true" outlineLevel="0" collapsed="false">
      <c r="A268" s="12" t="s">
        <v>364</v>
      </c>
      <c r="B268" s="12" t="s">
        <v>1101</v>
      </c>
      <c r="C268" s="12" t="n">
        <v>5</v>
      </c>
      <c r="D268" s="13" t="str">
        <f aca="false">HYPERLINK(BaseURL&amp;"/proposals/ntec-gas-plant-yfj06b","NTEC Gas Plant")</f>
        <v>NTEC Gas Plant</v>
      </c>
      <c r="E268" s="12" t="s">
        <v>465</v>
      </c>
      <c r="F268" s="12" t="s">
        <v>86</v>
      </c>
      <c r="G268" s="12" t="s">
        <v>466</v>
      </c>
      <c r="H268" s="12" t="s">
        <v>83</v>
      </c>
      <c r="I268" s="14" t="s">
        <v>458</v>
      </c>
      <c r="J268" s="12" t="s">
        <v>1102</v>
      </c>
      <c r="K268" s="12" t="s">
        <v>487</v>
      </c>
      <c r="L268" s="12" t="s">
        <v>479</v>
      </c>
      <c r="M268" s="12" t="s">
        <v>1007</v>
      </c>
      <c r="N268" s="14" t="s">
        <v>367</v>
      </c>
      <c r="O268" s="14"/>
      <c r="P268" s="12" t="s">
        <v>368</v>
      </c>
      <c r="Q268" s="12" t="s">
        <v>1111</v>
      </c>
      <c r="R268" s="12" t="s">
        <v>1112</v>
      </c>
    </row>
    <row r="269" customFormat="false" ht="30" hidden="false" customHeight="true" outlineLevel="0" collapsed="false">
      <c r="A269" s="12" t="s">
        <v>364</v>
      </c>
      <c r="B269" s="12" t="s">
        <v>1101</v>
      </c>
      <c r="C269" s="12" t="n">
        <v>6</v>
      </c>
      <c r="D269" s="13" t="str">
        <f aca="false">HYPERLINK(BaseURL&amp;"/proposals/ntec-gas-plant-0d1vfn","NTEC Gas Plant")</f>
        <v>NTEC Gas Plant</v>
      </c>
      <c r="E269" s="12" t="s">
        <v>465</v>
      </c>
      <c r="F269" s="12" t="s">
        <v>86</v>
      </c>
      <c r="G269" s="12" t="s">
        <v>466</v>
      </c>
      <c r="H269" s="12" t="s">
        <v>83</v>
      </c>
      <c r="I269" s="14" t="s">
        <v>458</v>
      </c>
      <c r="J269" s="12" t="s">
        <v>1102</v>
      </c>
      <c r="K269" s="12" t="s">
        <v>487</v>
      </c>
      <c r="L269" s="12" t="s">
        <v>479</v>
      </c>
      <c r="M269" s="12" t="s">
        <v>1007</v>
      </c>
      <c r="N269" s="14" t="s">
        <v>367</v>
      </c>
      <c r="O269" s="14"/>
      <c r="P269" s="12" t="s">
        <v>368</v>
      </c>
      <c r="Q269" s="12" t="s">
        <v>1113</v>
      </c>
      <c r="R269" s="12" t="s">
        <v>1114</v>
      </c>
    </row>
    <row r="270" customFormat="false" ht="30" hidden="false" customHeight="true" outlineLevel="0" collapsed="false">
      <c r="A270" s="12" t="s">
        <v>364</v>
      </c>
      <c r="B270" s="12" t="s">
        <v>1101</v>
      </c>
      <c r="C270" s="12" t="n">
        <v>7</v>
      </c>
      <c r="D270" s="13" t="str">
        <f aca="false">HYPERLINK(BaseURL&amp;"/proposals/ntec-gas-plant-qpwca4","NTEC Gas Plant")</f>
        <v>NTEC Gas Plant</v>
      </c>
      <c r="E270" s="12" t="s">
        <v>465</v>
      </c>
      <c r="F270" s="12" t="s">
        <v>86</v>
      </c>
      <c r="G270" s="12" t="s">
        <v>466</v>
      </c>
      <c r="H270" s="12" t="s">
        <v>83</v>
      </c>
      <c r="I270" s="14" t="s">
        <v>458</v>
      </c>
      <c r="J270" s="12" t="s">
        <v>1102</v>
      </c>
      <c r="K270" s="12" t="s">
        <v>487</v>
      </c>
      <c r="L270" s="12" t="s">
        <v>479</v>
      </c>
      <c r="M270" s="12" t="s">
        <v>1007</v>
      </c>
      <c r="N270" s="14" t="s">
        <v>367</v>
      </c>
      <c r="O270" s="14"/>
      <c r="P270" s="12" t="s">
        <v>368</v>
      </c>
      <c r="Q270" s="12" t="s">
        <v>1115</v>
      </c>
      <c r="R270" s="12" t="s">
        <v>1116</v>
      </c>
    </row>
    <row r="271" customFormat="false" ht="30" hidden="false" customHeight="true" outlineLevel="0" collapsed="false">
      <c r="A271" s="12" t="s">
        <v>364</v>
      </c>
      <c r="B271" s="12" t="s">
        <v>1101</v>
      </c>
      <c r="C271" s="12" t="n">
        <v>8</v>
      </c>
      <c r="D271" s="13" t="str">
        <f aca="false">HYPERLINK(BaseURL&amp;"/proposals/ntec-gas-plant-zjg6wc","NTEC Gas Plant")</f>
        <v>NTEC Gas Plant</v>
      </c>
      <c r="E271" s="12" t="s">
        <v>465</v>
      </c>
      <c r="F271" s="12" t="s">
        <v>86</v>
      </c>
      <c r="G271" s="12" t="s">
        <v>466</v>
      </c>
      <c r="H271" s="12" t="s">
        <v>83</v>
      </c>
      <c r="I271" s="14" t="s">
        <v>458</v>
      </c>
      <c r="J271" s="12" t="s">
        <v>1102</v>
      </c>
      <c r="K271" s="12" t="s">
        <v>487</v>
      </c>
      <c r="L271" s="12" t="s">
        <v>479</v>
      </c>
      <c r="M271" s="12" t="s">
        <v>1007</v>
      </c>
      <c r="N271" s="14" t="s">
        <v>367</v>
      </c>
      <c r="O271" s="14"/>
      <c r="P271" s="12" t="s">
        <v>368</v>
      </c>
      <c r="Q271" s="12" t="s">
        <v>1117</v>
      </c>
      <c r="R271" s="12" t="s">
        <v>1118</v>
      </c>
    </row>
    <row r="272" customFormat="false" ht="30" hidden="false" customHeight="true" outlineLevel="0" collapsed="false">
      <c r="A272" s="12" t="s">
        <v>364</v>
      </c>
      <c r="B272" s="12" t="s">
        <v>1101</v>
      </c>
      <c r="C272" s="12" t="n">
        <v>9</v>
      </c>
      <c r="D272" s="13" t="str">
        <f aca="false">HYPERLINK(BaseURL&amp;"/proposals/ntec-gas-plant-rbxvy1","NTEC Gas Plant")</f>
        <v>NTEC Gas Plant</v>
      </c>
      <c r="E272" s="12" t="s">
        <v>465</v>
      </c>
      <c r="F272" s="12" t="s">
        <v>86</v>
      </c>
      <c r="G272" s="12" t="s">
        <v>466</v>
      </c>
      <c r="H272" s="12" t="s">
        <v>83</v>
      </c>
      <c r="I272" s="14" t="s">
        <v>458</v>
      </c>
      <c r="J272" s="12" t="s">
        <v>1102</v>
      </c>
      <c r="K272" s="12" t="s">
        <v>487</v>
      </c>
      <c r="L272" s="12" t="s">
        <v>479</v>
      </c>
      <c r="M272" s="12" t="s">
        <v>1007</v>
      </c>
      <c r="N272" s="14" t="s">
        <v>367</v>
      </c>
      <c r="O272" s="14"/>
      <c r="P272" s="12" t="s">
        <v>368</v>
      </c>
      <c r="Q272" s="12" t="s">
        <v>1119</v>
      </c>
      <c r="R272" s="12" t="s">
        <v>1120</v>
      </c>
    </row>
    <row r="273" customFormat="false" ht="30" hidden="false" customHeight="true" outlineLevel="0" collapsed="false">
      <c r="A273" s="12" t="s">
        <v>364</v>
      </c>
      <c r="B273" s="12" t="s">
        <v>1101</v>
      </c>
      <c r="C273" s="12" t="n">
        <v>10</v>
      </c>
      <c r="D273" s="13" t="str">
        <f aca="false">HYPERLINK(BaseURL&amp;"/proposals/ntec-gas-plant-rxv10a","NTEC Gas Plant")</f>
        <v>NTEC Gas Plant</v>
      </c>
      <c r="E273" s="12" t="s">
        <v>465</v>
      </c>
      <c r="F273" s="12" t="s">
        <v>86</v>
      </c>
      <c r="G273" s="12" t="s">
        <v>466</v>
      </c>
      <c r="H273" s="12" t="s">
        <v>83</v>
      </c>
      <c r="I273" s="14" t="s">
        <v>458</v>
      </c>
      <c r="J273" s="12" t="s">
        <v>1102</v>
      </c>
      <c r="K273" s="12" t="s">
        <v>487</v>
      </c>
      <c r="L273" s="12" t="s">
        <v>479</v>
      </c>
      <c r="M273" s="12" t="s">
        <v>1007</v>
      </c>
      <c r="N273" s="14" t="s">
        <v>367</v>
      </c>
      <c r="O273" s="14"/>
      <c r="P273" s="12" t="s">
        <v>368</v>
      </c>
      <c r="Q273" s="12" t="s">
        <v>1121</v>
      </c>
      <c r="R273" s="12" t="s">
        <v>1122</v>
      </c>
    </row>
    <row r="274" customFormat="false" ht="30" hidden="false" customHeight="true" outlineLevel="0" collapsed="false">
      <c r="A274" s="12" t="s">
        <v>364</v>
      </c>
      <c r="B274" s="12" t="s">
        <v>1101</v>
      </c>
      <c r="C274" s="12" t="n">
        <v>11</v>
      </c>
      <c r="D274" s="13" t="str">
        <f aca="false">HYPERLINK(BaseURL&amp;"/proposals/ntec-gas-plant-gre085","NTEC Gas Plant")</f>
        <v>NTEC Gas Plant</v>
      </c>
      <c r="E274" s="12" t="s">
        <v>465</v>
      </c>
      <c r="F274" s="12" t="s">
        <v>86</v>
      </c>
      <c r="G274" s="12" t="s">
        <v>466</v>
      </c>
      <c r="H274" s="12" t="s">
        <v>83</v>
      </c>
      <c r="I274" s="14" t="s">
        <v>458</v>
      </c>
      <c r="J274" s="12" t="s">
        <v>1102</v>
      </c>
      <c r="K274" s="12" t="s">
        <v>487</v>
      </c>
      <c r="L274" s="12" t="s">
        <v>479</v>
      </c>
      <c r="M274" s="12" t="s">
        <v>1007</v>
      </c>
      <c r="N274" s="14" t="s">
        <v>367</v>
      </c>
      <c r="O274" s="14"/>
      <c r="P274" s="12" t="s">
        <v>368</v>
      </c>
      <c r="Q274" s="12" t="s">
        <v>1123</v>
      </c>
      <c r="R274" s="12" t="s">
        <v>1124</v>
      </c>
    </row>
    <row r="275" customFormat="false" ht="30" hidden="false" customHeight="true" outlineLevel="0" collapsed="false">
      <c r="A275" s="12" t="s">
        <v>364</v>
      </c>
      <c r="B275" s="12" t="s">
        <v>1101</v>
      </c>
      <c r="C275" s="12" t="n">
        <v>12</v>
      </c>
      <c r="D275" s="13" t="str">
        <f aca="false">HYPERLINK(BaseURL&amp;"/proposals/ntec-gas-plant-bc84hr","NTEC Gas Plant")</f>
        <v>NTEC Gas Plant</v>
      </c>
      <c r="E275" s="12" t="s">
        <v>465</v>
      </c>
      <c r="F275" s="12" t="s">
        <v>86</v>
      </c>
      <c r="G275" s="12" t="s">
        <v>466</v>
      </c>
      <c r="H275" s="12" t="s">
        <v>83</v>
      </c>
      <c r="I275" s="14" t="s">
        <v>458</v>
      </c>
      <c r="J275" s="12" t="s">
        <v>1102</v>
      </c>
      <c r="K275" s="12" t="s">
        <v>487</v>
      </c>
      <c r="L275" s="12" t="s">
        <v>479</v>
      </c>
      <c r="M275" s="12" t="s">
        <v>1007</v>
      </c>
      <c r="N275" s="14" t="s">
        <v>367</v>
      </c>
      <c r="O275" s="14"/>
      <c r="P275" s="12" t="s">
        <v>368</v>
      </c>
      <c r="Q275" s="12" t="s">
        <v>1125</v>
      </c>
      <c r="R275" s="12" t="s">
        <v>1126</v>
      </c>
    </row>
    <row r="276" customFormat="false" ht="30" hidden="false" customHeight="true" outlineLevel="0" collapsed="false">
      <c r="A276" s="12" t="s">
        <v>364</v>
      </c>
      <c r="B276" s="12" t="s">
        <v>1101</v>
      </c>
      <c r="C276" s="12" t="n">
        <v>13</v>
      </c>
      <c r="D276" s="13" t="str">
        <f aca="false">HYPERLINK(BaseURL&amp;"/proposals/ntec-gas-plant-dsxtb6","NTEC Gas Plant")</f>
        <v>NTEC Gas Plant</v>
      </c>
      <c r="E276" s="12" t="s">
        <v>465</v>
      </c>
      <c r="F276" s="12" t="s">
        <v>86</v>
      </c>
      <c r="G276" s="12" t="s">
        <v>466</v>
      </c>
      <c r="H276" s="12" t="s">
        <v>83</v>
      </c>
      <c r="I276" s="14" t="s">
        <v>458</v>
      </c>
      <c r="J276" s="12" t="s">
        <v>1102</v>
      </c>
      <c r="K276" s="12" t="s">
        <v>487</v>
      </c>
      <c r="L276" s="12" t="s">
        <v>479</v>
      </c>
      <c r="M276" s="12" t="s">
        <v>1007</v>
      </c>
      <c r="N276" s="14" t="s">
        <v>367</v>
      </c>
      <c r="O276" s="14"/>
      <c r="P276" s="12" t="s">
        <v>368</v>
      </c>
      <c r="Q276" s="12" t="s">
        <v>1127</v>
      </c>
      <c r="R276" s="12" t="s">
        <v>1128</v>
      </c>
    </row>
    <row r="277" customFormat="false" ht="30" hidden="false" customHeight="true" outlineLevel="0" collapsed="false">
      <c r="A277" s="12" t="s">
        <v>364</v>
      </c>
      <c r="B277" s="12" t="s">
        <v>1101</v>
      </c>
      <c r="C277" s="12" t="n">
        <v>14</v>
      </c>
      <c r="D277" s="13" t="str">
        <f aca="false">HYPERLINK(BaseURL&amp;"/proposals/ntec-gas-plant-qpzj3m","NTEC Gas Plant")</f>
        <v>NTEC Gas Plant</v>
      </c>
      <c r="E277" s="12" t="s">
        <v>465</v>
      </c>
      <c r="F277" s="12" t="s">
        <v>86</v>
      </c>
      <c r="G277" s="12" t="s">
        <v>466</v>
      </c>
      <c r="H277" s="12" t="s">
        <v>83</v>
      </c>
      <c r="I277" s="14" t="s">
        <v>458</v>
      </c>
      <c r="J277" s="12" t="s">
        <v>1102</v>
      </c>
      <c r="K277" s="12" t="s">
        <v>487</v>
      </c>
      <c r="L277" s="12" t="s">
        <v>479</v>
      </c>
      <c r="M277" s="12" t="s">
        <v>1007</v>
      </c>
      <c r="N277" s="14" t="s">
        <v>367</v>
      </c>
      <c r="O277" s="14"/>
      <c r="P277" s="12" t="s">
        <v>368</v>
      </c>
      <c r="Q277" s="12" t="s">
        <v>1129</v>
      </c>
      <c r="R277" s="12" t="s">
        <v>1130</v>
      </c>
    </row>
    <row r="278" customFormat="false" ht="30" hidden="false" customHeight="true" outlineLevel="0" collapsed="false">
      <c r="A278" s="12" t="s">
        <v>364</v>
      </c>
      <c r="B278" s="12" t="s">
        <v>1101</v>
      </c>
      <c r="C278" s="12" t="n">
        <v>15</v>
      </c>
      <c r="D278" s="13" t="str">
        <f aca="false">HYPERLINK(BaseURL&amp;"/proposals/ntec-gas-plant-e4qcf1","NTEC Gas Plant")</f>
        <v>NTEC Gas Plant</v>
      </c>
      <c r="E278" s="12" t="s">
        <v>465</v>
      </c>
      <c r="F278" s="12" t="s">
        <v>86</v>
      </c>
      <c r="G278" s="12" t="s">
        <v>466</v>
      </c>
      <c r="H278" s="12" t="s">
        <v>83</v>
      </c>
      <c r="I278" s="14" t="s">
        <v>458</v>
      </c>
      <c r="J278" s="12" t="s">
        <v>1102</v>
      </c>
      <c r="K278" s="12" t="s">
        <v>487</v>
      </c>
      <c r="L278" s="12" t="s">
        <v>479</v>
      </c>
      <c r="M278" s="12" t="s">
        <v>1007</v>
      </c>
      <c r="N278" s="14" t="s">
        <v>367</v>
      </c>
      <c r="O278" s="14"/>
      <c r="P278" s="12" t="s">
        <v>368</v>
      </c>
      <c r="Q278" s="12" t="s">
        <v>1131</v>
      </c>
      <c r="R278" s="12" t="s">
        <v>1132</v>
      </c>
    </row>
    <row r="279" customFormat="false" ht="30" hidden="false" customHeight="true" outlineLevel="0" collapsed="false">
      <c r="A279" s="12" t="s">
        <v>364</v>
      </c>
      <c r="B279" s="12" t="s">
        <v>1101</v>
      </c>
      <c r="C279" s="12" t="n">
        <v>16</v>
      </c>
      <c r="D279" s="13" t="str">
        <f aca="false">HYPERLINK(BaseURL&amp;"/proposals/ntec-gas-plant-m387c2","NTEC Gas Plant")</f>
        <v>NTEC Gas Plant</v>
      </c>
      <c r="E279" s="12" t="s">
        <v>465</v>
      </c>
      <c r="F279" s="12" t="s">
        <v>86</v>
      </c>
      <c r="G279" s="12" t="s">
        <v>466</v>
      </c>
      <c r="H279" s="12" t="s">
        <v>83</v>
      </c>
      <c r="I279" s="14" t="s">
        <v>458</v>
      </c>
      <c r="J279" s="12" t="s">
        <v>1102</v>
      </c>
      <c r="K279" s="12" t="s">
        <v>487</v>
      </c>
      <c r="L279" s="12" t="s">
        <v>479</v>
      </c>
      <c r="M279" s="12" t="s">
        <v>1007</v>
      </c>
      <c r="N279" s="14" t="s">
        <v>367</v>
      </c>
      <c r="O279" s="14"/>
      <c r="P279" s="12" t="s">
        <v>368</v>
      </c>
      <c r="Q279" s="12" t="s">
        <v>1133</v>
      </c>
      <c r="R279" s="12" t="s">
        <v>1134</v>
      </c>
    </row>
    <row r="280" customFormat="false" ht="30" hidden="false" customHeight="true" outlineLevel="0" collapsed="false">
      <c r="A280" s="12" t="s">
        <v>364</v>
      </c>
      <c r="B280" s="12" t="s">
        <v>1101</v>
      </c>
      <c r="C280" s="12" t="n">
        <v>17</v>
      </c>
      <c r="D280" s="13" t="str">
        <f aca="false">HYPERLINK(BaseURL&amp;"/proposals/ntec-gas-plant-znt30b","NTEC Gas Plant")</f>
        <v>NTEC Gas Plant</v>
      </c>
      <c r="E280" s="12" t="s">
        <v>465</v>
      </c>
      <c r="F280" s="12" t="s">
        <v>86</v>
      </c>
      <c r="G280" s="12" t="s">
        <v>466</v>
      </c>
      <c r="H280" s="12" t="s">
        <v>83</v>
      </c>
      <c r="I280" s="14" t="s">
        <v>458</v>
      </c>
      <c r="J280" s="12" t="s">
        <v>1102</v>
      </c>
      <c r="K280" s="12" t="s">
        <v>487</v>
      </c>
      <c r="L280" s="12" t="s">
        <v>479</v>
      </c>
      <c r="M280" s="12" t="s">
        <v>1007</v>
      </c>
      <c r="N280" s="14" t="s">
        <v>367</v>
      </c>
      <c r="O280" s="14"/>
      <c r="P280" s="12" t="s">
        <v>368</v>
      </c>
      <c r="Q280" s="12" t="s">
        <v>1135</v>
      </c>
      <c r="R280" s="12" t="s">
        <v>1136</v>
      </c>
    </row>
    <row r="281" customFormat="false" ht="30" hidden="false" customHeight="true" outlineLevel="0" collapsed="false">
      <c r="A281" s="12" t="s">
        <v>364</v>
      </c>
      <c r="B281" s="12" t="s">
        <v>1101</v>
      </c>
      <c r="C281" s="12" t="n">
        <v>18</v>
      </c>
      <c r="D281" s="13" t="str">
        <f aca="false">HYPERLINK(BaseURL&amp;"/proposals/ntec-gas-plant-f5arex","NTEC Gas Plant")</f>
        <v>NTEC Gas Plant</v>
      </c>
      <c r="E281" s="12" t="s">
        <v>465</v>
      </c>
      <c r="F281" s="12" t="s">
        <v>86</v>
      </c>
      <c r="G281" s="12" t="s">
        <v>466</v>
      </c>
      <c r="H281" s="12" t="s">
        <v>83</v>
      </c>
      <c r="I281" s="14" t="s">
        <v>458</v>
      </c>
      <c r="J281" s="12" t="s">
        <v>1102</v>
      </c>
      <c r="K281" s="12" t="s">
        <v>487</v>
      </c>
      <c r="L281" s="12" t="s">
        <v>479</v>
      </c>
      <c r="M281" s="12" t="s">
        <v>1007</v>
      </c>
      <c r="N281" s="14" t="s">
        <v>367</v>
      </c>
      <c r="O281" s="14"/>
      <c r="P281" s="12" t="s">
        <v>368</v>
      </c>
      <c r="Q281" s="12" t="s">
        <v>1137</v>
      </c>
      <c r="R281" s="12" t="s">
        <v>1138</v>
      </c>
    </row>
    <row r="282" customFormat="false" ht="30" hidden="false" customHeight="true" outlineLevel="0" collapsed="false">
      <c r="A282" s="12" t="s">
        <v>371</v>
      </c>
      <c r="B282" s="12" t="s">
        <v>1139</v>
      </c>
      <c r="C282" s="12" t="n">
        <v>1</v>
      </c>
      <c r="D282" s="13" t="str">
        <f aca="false">HYPERLINK(BaseURL&amp;"/proposals/princeton-road-station-zhfcck","Princeton Road Station")</f>
        <v>Princeton Road Station</v>
      </c>
      <c r="E282" s="12" t="s">
        <v>39</v>
      </c>
      <c r="F282" s="12" t="s">
        <v>86</v>
      </c>
      <c r="G282" s="12" t="s">
        <v>457</v>
      </c>
      <c r="H282" s="12" t="s">
        <v>83</v>
      </c>
      <c r="I282" s="14" t="s">
        <v>458</v>
      </c>
      <c r="J282" s="12" t="s">
        <v>1140</v>
      </c>
      <c r="K282" s="12" t="s">
        <v>487</v>
      </c>
      <c r="L282" s="12" t="s">
        <v>471</v>
      </c>
      <c r="M282" s="12" t="s">
        <v>1141</v>
      </c>
      <c r="N282" s="14" t="s">
        <v>374</v>
      </c>
      <c r="O282" s="14"/>
      <c r="P282" s="12" t="s">
        <v>375</v>
      </c>
      <c r="Q282" s="12" t="s">
        <v>1142</v>
      </c>
      <c r="R282" s="12" t="s">
        <v>1143</v>
      </c>
    </row>
    <row r="283" customFormat="false" ht="30" hidden="false" customHeight="true" outlineLevel="0" collapsed="false">
      <c r="A283" s="12" t="s">
        <v>371</v>
      </c>
      <c r="B283" s="12" t="s">
        <v>1139</v>
      </c>
      <c r="C283" s="12" t="n">
        <v>2</v>
      </c>
      <c r="D283" s="13" t="str">
        <f aca="false">HYPERLINK(BaseURL&amp;"/proposals/princeton-road-station-h3bhj1","Princeton Road Station")</f>
        <v>Princeton Road Station</v>
      </c>
      <c r="E283" s="12" t="s">
        <v>465</v>
      </c>
      <c r="F283" s="12" t="s">
        <v>86</v>
      </c>
      <c r="G283" s="12" t="s">
        <v>466</v>
      </c>
      <c r="H283" s="12" t="s">
        <v>83</v>
      </c>
      <c r="I283" s="14" t="s">
        <v>458</v>
      </c>
      <c r="J283" s="12" t="s">
        <v>1140</v>
      </c>
      <c r="K283" s="12" t="s">
        <v>487</v>
      </c>
      <c r="L283" s="12" t="s">
        <v>471</v>
      </c>
      <c r="M283" s="12" t="s">
        <v>1141</v>
      </c>
      <c r="N283" s="14" t="s">
        <v>374</v>
      </c>
      <c r="O283" s="14"/>
      <c r="P283" s="12" t="s">
        <v>375</v>
      </c>
      <c r="Q283" s="12" t="s">
        <v>1144</v>
      </c>
      <c r="R283" s="12" t="s">
        <v>1145</v>
      </c>
    </row>
    <row r="284" customFormat="false" ht="30" hidden="false" customHeight="true" outlineLevel="0" collapsed="false">
      <c r="A284" s="12" t="s">
        <v>371</v>
      </c>
      <c r="B284" s="12" t="s">
        <v>1139</v>
      </c>
      <c r="C284" s="12" t="n">
        <v>3</v>
      </c>
      <c r="D284" s="13" t="str">
        <f aca="false">HYPERLINK(BaseURL&amp;"/proposals/princeton-road-station-4jnq12","Princeton Road Station")</f>
        <v>Princeton Road Station</v>
      </c>
      <c r="E284" s="12" t="s">
        <v>465</v>
      </c>
      <c r="F284" s="12" t="s">
        <v>86</v>
      </c>
      <c r="G284" s="12" t="s">
        <v>466</v>
      </c>
      <c r="H284" s="12" t="s">
        <v>83</v>
      </c>
      <c r="I284" s="14" t="s">
        <v>458</v>
      </c>
      <c r="J284" s="12" t="s">
        <v>1146</v>
      </c>
      <c r="K284" s="12" t="s">
        <v>1087</v>
      </c>
      <c r="L284" s="12" t="s">
        <v>471</v>
      </c>
      <c r="M284" s="12" t="s">
        <v>1141</v>
      </c>
      <c r="N284" s="14" t="s">
        <v>374</v>
      </c>
      <c r="O284" s="14"/>
      <c r="P284" s="12" t="s">
        <v>375</v>
      </c>
      <c r="Q284" s="12" t="s">
        <v>1147</v>
      </c>
      <c r="R284" s="12" t="s">
        <v>1148</v>
      </c>
    </row>
    <row r="285" customFormat="false" ht="30" hidden="false" customHeight="true" outlineLevel="0" collapsed="false">
      <c r="A285" s="12" t="s">
        <v>371</v>
      </c>
      <c r="B285" s="12" t="s">
        <v>1139</v>
      </c>
      <c r="C285" s="12" t="n">
        <v>4</v>
      </c>
      <c r="D285" s="13" t="str">
        <f aca="false">HYPERLINK(BaseURL&amp;"/proposals/princeton-road-station-xqxs08","Princeton Road Station")</f>
        <v>Princeton Road Station</v>
      </c>
      <c r="E285" s="12" t="s">
        <v>465</v>
      </c>
      <c r="F285" s="12" t="s">
        <v>86</v>
      </c>
      <c r="G285" s="12" t="s">
        <v>466</v>
      </c>
      <c r="H285" s="12" t="s">
        <v>83</v>
      </c>
      <c r="I285" s="14" t="s">
        <v>458</v>
      </c>
      <c r="J285" s="12" t="s">
        <v>1146</v>
      </c>
      <c r="K285" s="12" t="s">
        <v>1087</v>
      </c>
      <c r="L285" s="12" t="s">
        <v>471</v>
      </c>
      <c r="M285" s="12" t="s">
        <v>1141</v>
      </c>
      <c r="N285" s="14" t="s">
        <v>374</v>
      </c>
      <c r="O285" s="14"/>
      <c r="P285" s="12" t="s">
        <v>375</v>
      </c>
      <c r="Q285" s="12" t="s">
        <v>1149</v>
      </c>
      <c r="R285" s="12" t="s">
        <v>1150</v>
      </c>
    </row>
    <row r="286" customFormat="false" ht="30" hidden="false" customHeight="true" outlineLevel="0" collapsed="false">
      <c r="A286" s="12" t="s">
        <v>371</v>
      </c>
      <c r="B286" s="12" t="s">
        <v>1139</v>
      </c>
      <c r="C286" s="12" t="n">
        <v>5</v>
      </c>
      <c r="D286" s="13" t="str">
        <f aca="false">HYPERLINK(BaseURL&amp;"/proposals/princeton-road-station-3ndmjh","Princeton Road Station")</f>
        <v>Princeton Road Station</v>
      </c>
      <c r="E286" s="12" t="s">
        <v>465</v>
      </c>
      <c r="F286" s="12" t="s">
        <v>86</v>
      </c>
      <c r="G286" s="12" t="s">
        <v>466</v>
      </c>
      <c r="H286" s="12" t="s">
        <v>83</v>
      </c>
      <c r="I286" s="14" t="s">
        <v>458</v>
      </c>
      <c r="J286" s="12" t="s">
        <v>1146</v>
      </c>
      <c r="K286" s="12" t="s">
        <v>1087</v>
      </c>
      <c r="L286" s="12" t="s">
        <v>471</v>
      </c>
      <c r="M286" s="12" t="s">
        <v>1141</v>
      </c>
      <c r="N286" s="14" t="s">
        <v>374</v>
      </c>
      <c r="O286" s="14"/>
      <c r="P286" s="12" t="s">
        <v>375</v>
      </c>
      <c r="Q286" s="12" t="s">
        <v>1151</v>
      </c>
      <c r="R286" s="12" t="s">
        <v>1152</v>
      </c>
    </row>
    <row r="287" customFormat="false" ht="30" hidden="false" customHeight="true" outlineLevel="0" collapsed="false">
      <c r="A287" s="12" t="s">
        <v>371</v>
      </c>
      <c r="B287" s="12" t="s">
        <v>1139</v>
      </c>
      <c r="C287" s="12" t="n">
        <v>6</v>
      </c>
      <c r="D287" s="13" t="str">
        <f aca="false">HYPERLINK(BaseURL&amp;"/proposals/princeton-road-station-d68nrj","Princeton Road Station")</f>
        <v>Princeton Road Station</v>
      </c>
      <c r="E287" s="12" t="s">
        <v>465</v>
      </c>
      <c r="F287" s="12" t="s">
        <v>86</v>
      </c>
      <c r="G287" s="12" t="s">
        <v>466</v>
      </c>
      <c r="H287" s="12" t="s">
        <v>83</v>
      </c>
      <c r="I287" s="14" t="s">
        <v>458</v>
      </c>
      <c r="J287" s="12" t="s">
        <v>1146</v>
      </c>
      <c r="K287" s="12" t="s">
        <v>1087</v>
      </c>
      <c r="L287" s="12" t="s">
        <v>471</v>
      </c>
      <c r="M287" s="12" t="s">
        <v>1141</v>
      </c>
      <c r="N287" s="14" t="s">
        <v>374</v>
      </c>
      <c r="O287" s="14"/>
      <c r="P287" s="12" t="s">
        <v>375</v>
      </c>
      <c r="Q287" s="12" t="s">
        <v>1153</v>
      </c>
      <c r="R287" s="12" t="s">
        <v>1154</v>
      </c>
    </row>
    <row r="288" customFormat="false" ht="30" hidden="false" customHeight="true" outlineLevel="0" collapsed="false">
      <c r="A288" s="12" t="s">
        <v>371</v>
      </c>
      <c r="B288" s="12" t="s">
        <v>1139</v>
      </c>
      <c r="C288" s="12" t="n">
        <v>7</v>
      </c>
      <c r="D288" s="13" t="str">
        <f aca="false">HYPERLINK(BaseURL&amp;"/proposals/princeton-road-station-3svkd3","Princeton Road Station")</f>
        <v>Princeton Road Station</v>
      </c>
      <c r="E288" s="12" t="s">
        <v>465</v>
      </c>
      <c r="F288" s="12" t="s">
        <v>86</v>
      </c>
      <c r="G288" s="12" t="s">
        <v>466</v>
      </c>
      <c r="H288" s="12" t="s">
        <v>83</v>
      </c>
      <c r="I288" s="14" t="s">
        <v>458</v>
      </c>
      <c r="J288" s="12" t="s">
        <v>1146</v>
      </c>
      <c r="K288" s="12" t="s">
        <v>1087</v>
      </c>
      <c r="L288" s="12" t="s">
        <v>471</v>
      </c>
      <c r="M288" s="12" t="s">
        <v>1141</v>
      </c>
      <c r="N288" s="14" t="s">
        <v>374</v>
      </c>
      <c r="O288" s="14"/>
      <c r="P288" s="12" t="s">
        <v>375</v>
      </c>
      <c r="Q288" s="12" t="s">
        <v>1155</v>
      </c>
      <c r="R288" s="12" t="s">
        <v>1156</v>
      </c>
    </row>
    <row r="289" customFormat="false" ht="30" hidden="false" customHeight="true" outlineLevel="0" collapsed="false">
      <c r="A289" s="12" t="s">
        <v>371</v>
      </c>
      <c r="B289" s="12" t="s">
        <v>1139</v>
      </c>
      <c r="C289" s="12" t="n">
        <v>8</v>
      </c>
      <c r="D289" s="13" t="str">
        <f aca="false">HYPERLINK(BaseURL&amp;"/proposals/princeton-road-station-d19spg","Princeton Road Station")</f>
        <v>Princeton Road Station</v>
      </c>
      <c r="E289" s="12" t="s">
        <v>465</v>
      </c>
      <c r="F289" s="12" t="s">
        <v>86</v>
      </c>
      <c r="G289" s="12" t="s">
        <v>466</v>
      </c>
      <c r="H289" s="12" t="s">
        <v>83</v>
      </c>
      <c r="I289" s="14" t="s">
        <v>458</v>
      </c>
      <c r="J289" s="12" t="s">
        <v>1146</v>
      </c>
      <c r="K289" s="12" t="s">
        <v>1087</v>
      </c>
      <c r="L289" s="12" t="s">
        <v>471</v>
      </c>
      <c r="M289" s="12" t="s">
        <v>1141</v>
      </c>
      <c r="N289" s="14" t="s">
        <v>374</v>
      </c>
      <c r="O289" s="14"/>
      <c r="P289" s="12" t="s">
        <v>375</v>
      </c>
      <c r="Q289" s="12" t="s">
        <v>1157</v>
      </c>
      <c r="R289" s="12" t="s">
        <v>1158</v>
      </c>
    </row>
    <row r="290" customFormat="false" ht="30" hidden="false" customHeight="true" outlineLevel="0" collapsed="false">
      <c r="A290" s="12" t="s">
        <v>371</v>
      </c>
      <c r="B290" s="12" t="s">
        <v>1139</v>
      </c>
      <c r="C290" s="12" t="n">
        <v>9</v>
      </c>
      <c r="D290" s="13" t="str">
        <f aca="false">HYPERLINK(BaseURL&amp;"/proposals/princeton-road-station-148114","Princeton Road Station")</f>
        <v>Princeton Road Station</v>
      </c>
      <c r="E290" s="12" t="s">
        <v>465</v>
      </c>
      <c r="F290" s="12" t="s">
        <v>86</v>
      </c>
      <c r="G290" s="12" t="s">
        <v>466</v>
      </c>
      <c r="H290" s="12" t="s">
        <v>83</v>
      </c>
      <c r="I290" s="14" t="s">
        <v>458</v>
      </c>
      <c r="J290" s="12" t="s">
        <v>1146</v>
      </c>
      <c r="K290" s="12" t="s">
        <v>1087</v>
      </c>
      <c r="L290" s="12" t="s">
        <v>471</v>
      </c>
      <c r="M290" s="12" t="s">
        <v>1141</v>
      </c>
      <c r="N290" s="14" t="s">
        <v>374</v>
      </c>
      <c r="O290" s="14"/>
      <c r="P290" s="12" t="s">
        <v>375</v>
      </c>
      <c r="Q290" s="12" t="s">
        <v>1159</v>
      </c>
      <c r="R290" s="12" t="s">
        <v>1160</v>
      </c>
    </row>
    <row r="291" customFormat="false" ht="30" hidden="false" customHeight="true" outlineLevel="0" collapsed="false">
      <c r="A291" s="12" t="s">
        <v>371</v>
      </c>
      <c r="B291" s="12" t="s">
        <v>1139</v>
      </c>
      <c r="C291" s="12" t="n">
        <v>10</v>
      </c>
      <c r="D291" s="13" t="str">
        <f aca="false">HYPERLINK(BaseURL&amp;"/proposals/princeton-road-station-161s32","Princeton Road Station")</f>
        <v>Princeton Road Station</v>
      </c>
      <c r="E291" s="12" t="s">
        <v>465</v>
      </c>
      <c r="F291" s="12" t="s">
        <v>86</v>
      </c>
      <c r="G291" s="12" t="s">
        <v>466</v>
      </c>
      <c r="H291" s="12" t="s">
        <v>83</v>
      </c>
      <c r="I291" s="14" t="s">
        <v>458</v>
      </c>
      <c r="J291" s="12" t="s">
        <v>1146</v>
      </c>
      <c r="K291" s="12" t="s">
        <v>1087</v>
      </c>
      <c r="L291" s="12" t="s">
        <v>471</v>
      </c>
      <c r="M291" s="12" t="s">
        <v>1141</v>
      </c>
      <c r="N291" s="14" t="s">
        <v>374</v>
      </c>
      <c r="O291" s="14"/>
      <c r="P291" s="12" t="s">
        <v>375</v>
      </c>
      <c r="Q291" s="12" t="s">
        <v>1161</v>
      </c>
      <c r="R291" s="12" t="s">
        <v>1162</v>
      </c>
    </row>
    <row r="292" customFormat="false" ht="30" hidden="false" customHeight="true" outlineLevel="0" collapsed="false">
      <c r="A292" s="12" t="s">
        <v>371</v>
      </c>
      <c r="B292" s="12" t="s">
        <v>1139</v>
      </c>
      <c r="C292" s="12" t="n">
        <v>11</v>
      </c>
      <c r="D292" s="13" t="str">
        <f aca="false">HYPERLINK(BaseURL&amp;"/proposals/princeton-road-station-n2ny5h","Princeton Road Station")</f>
        <v>Princeton Road Station</v>
      </c>
      <c r="E292" s="12" t="s">
        <v>465</v>
      </c>
      <c r="F292" s="12" t="s">
        <v>86</v>
      </c>
      <c r="G292" s="12" t="s">
        <v>466</v>
      </c>
      <c r="H292" s="12" t="s">
        <v>83</v>
      </c>
      <c r="I292" s="14" t="s">
        <v>458</v>
      </c>
      <c r="J292" s="12" t="s">
        <v>1146</v>
      </c>
      <c r="K292" s="12" t="s">
        <v>1087</v>
      </c>
      <c r="L292" s="12" t="s">
        <v>471</v>
      </c>
      <c r="M292" s="12" t="s">
        <v>1141</v>
      </c>
      <c r="N292" s="14" t="s">
        <v>374</v>
      </c>
      <c r="O292" s="14"/>
      <c r="P292" s="12" t="s">
        <v>375</v>
      </c>
      <c r="Q292" s="12" t="s">
        <v>1163</v>
      </c>
      <c r="R292" s="12" t="s">
        <v>1164</v>
      </c>
    </row>
    <row r="293" customFormat="false" ht="30" hidden="false" customHeight="true" outlineLevel="0" collapsed="false">
      <c r="A293" s="12" t="s">
        <v>371</v>
      </c>
      <c r="B293" s="12" t="s">
        <v>1139</v>
      </c>
      <c r="C293" s="12" t="n">
        <v>12</v>
      </c>
      <c r="D293" s="13" t="str">
        <f aca="false">HYPERLINK(BaseURL&amp;"/proposals/princeton-road-station-xab65p","Princeton Road Station")</f>
        <v>Princeton Road Station</v>
      </c>
      <c r="E293" s="12" t="s">
        <v>465</v>
      </c>
      <c r="F293" s="12" t="s">
        <v>86</v>
      </c>
      <c r="G293" s="12" t="s">
        <v>466</v>
      </c>
      <c r="H293" s="12" t="s">
        <v>83</v>
      </c>
      <c r="I293" s="14" t="s">
        <v>458</v>
      </c>
      <c r="J293" s="12" t="s">
        <v>1146</v>
      </c>
      <c r="K293" s="12" t="s">
        <v>1087</v>
      </c>
      <c r="L293" s="12" t="s">
        <v>471</v>
      </c>
      <c r="M293" s="12" t="s">
        <v>1141</v>
      </c>
      <c r="N293" s="14" t="s">
        <v>374</v>
      </c>
      <c r="O293" s="14"/>
      <c r="P293" s="12" t="s">
        <v>375</v>
      </c>
      <c r="Q293" s="12" t="s">
        <v>1165</v>
      </c>
      <c r="R293" s="12" t="s">
        <v>1166</v>
      </c>
    </row>
    <row r="294" customFormat="false" ht="30" hidden="false" customHeight="true" outlineLevel="0" collapsed="false">
      <c r="A294" s="12" t="s">
        <v>371</v>
      </c>
      <c r="B294" s="12" t="s">
        <v>1139</v>
      </c>
      <c r="C294" s="12" t="n">
        <v>13</v>
      </c>
      <c r="D294" s="13" t="str">
        <f aca="false">HYPERLINK(BaseURL&amp;"/proposals/princeton-road-station-0szge8","Princeton Road Station")</f>
        <v>Princeton Road Station</v>
      </c>
      <c r="E294" s="12" t="s">
        <v>465</v>
      </c>
      <c r="F294" s="12" t="s">
        <v>86</v>
      </c>
      <c r="G294" s="12" t="s">
        <v>466</v>
      </c>
      <c r="H294" s="12" t="s">
        <v>83</v>
      </c>
      <c r="I294" s="14" t="s">
        <v>458</v>
      </c>
      <c r="J294" s="12" t="s">
        <v>1146</v>
      </c>
      <c r="K294" s="12" t="s">
        <v>1087</v>
      </c>
      <c r="L294" s="12" t="s">
        <v>471</v>
      </c>
      <c r="M294" s="12" t="s">
        <v>1141</v>
      </c>
      <c r="N294" s="14" t="s">
        <v>374</v>
      </c>
      <c r="O294" s="14"/>
      <c r="P294" s="12" t="s">
        <v>375</v>
      </c>
      <c r="Q294" s="12" t="s">
        <v>1167</v>
      </c>
      <c r="R294" s="12" t="s">
        <v>1168</v>
      </c>
    </row>
    <row r="295" customFormat="false" ht="30" hidden="false" customHeight="true" outlineLevel="0" collapsed="false">
      <c r="A295" s="12" t="s">
        <v>371</v>
      </c>
      <c r="B295" s="12" t="s">
        <v>1139</v>
      </c>
      <c r="C295" s="12" t="n">
        <v>14</v>
      </c>
      <c r="D295" s="13" t="str">
        <f aca="false">HYPERLINK(BaseURL&amp;"/proposals/princeton-road-station-b2k5sh","Princeton Road Station")</f>
        <v>Princeton Road Station</v>
      </c>
      <c r="E295" s="12" t="s">
        <v>465</v>
      </c>
      <c r="F295" s="12" t="s">
        <v>86</v>
      </c>
      <c r="G295" s="12" t="s">
        <v>466</v>
      </c>
      <c r="H295" s="12" t="s">
        <v>83</v>
      </c>
      <c r="I295" s="14" t="s">
        <v>458</v>
      </c>
      <c r="J295" s="12" t="s">
        <v>1146</v>
      </c>
      <c r="K295" s="12" t="s">
        <v>1087</v>
      </c>
      <c r="L295" s="12" t="s">
        <v>471</v>
      </c>
      <c r="M295" s="12" t="s">
        <v>1141</v>
      </c>
      <c r="N295" s="14" t="s">
        <v>374</v>
      </c>
      <c r="O295" s="14"/>
      <c r="P295" s="12" t="s">
        <v>375</v>
      </c>
      <c r="Q295" s="12" t="s">
        <v>1169</v>
      </c>
      <c r="R295" s="12" t="s">
        <v>1170</v>
      </c>
    </row>
    <row r="296" customFormat="false" ht="30" hidden="false" customHeight="true" outlineLevel="0" collapsed="false">
      <c r="A296" s="12" t="s">
        <v>378</v>
      </c>
      <c r="B296" s="12" t="s">
        <v>1171</v>
      </c>
      <c r="C296" s="12" t="n">
        <v>1</v>
      </c>
      <c r="D296" s="13" t="str">
        <f aca="false">HYPERLINK(BaseURL&amp;"/proposals/grayson-jnarz4","Grayson")</f>
        <v>Grayson</v>
      </c>
      <c r="E296" s="12" t="s">
        <v>39</v>
      </c>
      <c r="F296" s="12" t="s">
        <v>86</v>
      </c>
      <c r="G296" s="12" t="s">
        <v>457</v>
      </c>
      <c r="H296" s="12" t="s">
        <v>83</v>
      </c>
      <c r="I296" s="14" t="s">
        <v>458</v>
      </c>
      <c r="J296" s="12" t="s">
        <v>932</v>
      </c>
      <c r="K296" s="12" t="s">
        <v>460</v>
      </c>
      <c r="L296" s="12" t="s">
        <v>461</v>
      </c>
      <c r="M296" s="12" t="s">
        <v>472</v>
      </c>
      <c r="N296" s="14" t="s">
        <v>381</v>
      </c>
      <c r="O296" s="14"/>
      <c r="P296" s="12" t="s">
        <v>382</v>
      </c>
      <c r="Q296" s="12" t="s">
        <v>1172</v>
      </c>
      <c r="R296" s="12" t="s">
        <v>1173</v>
      </c>
    </row>
    <row r="297" customFormat="false" ht="30" hidden="false" customHeight="true" outlineLevel="0" collapsed="false">
      <c r="A297" s="12" t="s">
        <v>378</v>
      </c>
      <c r="B297" s="12" t="s">
        <v>1171</v>
      </c>
      <c r="C297" s="12" t="n">
        <v>2</v>
      </c>
      <c r="D297" s="13" t="str">
        <f aca="false">HYPERLINK(BaseURL&amp;"/proposals/grayson-6x7cm1","Grayson")</f>
        <v>Grayson</v>
      </c>
      <c r="E297" s="12" t="s">
        <v>465</v>
      </c>
      <c r="F297" s="12" t="s">
        <v>86</v>
      </c>
      <c r="G297" s="12" t="s">
        <v>466</v>
      </c>
      <c r="H297" s="12" t="s">
        <v>83</v>
      </c>
      <c r="I297" s="14" t="s">
        <v>458</v>
      </c>
      <c r="J297" s="12" t="s">
        <v>1174</v>
      </c>
      <c r="K297" s="12" t="s">
        <v>1087</v>
      </c>
      <c r="L297" s="12" t="s">
        <v>461</v>
      </c>
      <c r="M297" s="12" t="s">
        <v>472</v>
      </c>
      <c r="N297" s="14" t="s">
        <v>381</v>
      </c>
      <c r="O297" s="14"/>
      <c r="P297" s="12" t="s">
        <v>382</v>
      </c>
      <c r="Q297" s="12" t="s">
        <v>1175</v>
      </c>
      <c r="R297" s="12" t="s">
        <v>1176</v>
      </c>
    </row>
    <row r="298" customFormat="false" ht="30" hidden="false" customHeight="true" outlineLevel="0" collapsed="false">
      <c r="A298" s="12" t="s">
        <v>378</v>
      </c>
      <c r="B298" s="12" t="s">
        <v>1171</v>
      </c>
      <c r="C298" s="12" t="n">
        <v>3</v>
      </c>
      <c r="D298" s="13" t="str">
        <f aca="false">HYPERLINK(BaseURL&amp;"/proposals/grayson-z9b1jb","Grayson")</f>
        <v>Grayson</v>
      </c>
      <c r="E298" s="12" t="s">
        <v>465</v>
      </c>
      <c r="F298" s="12" t="s">
        <v>86</v>
      </c>
      <c r="G298" s="12" t="s">
        <v>466</v>
      </c>
      <c r="H298" s="12" t="s">
        <v>83</v>
      </c>
      <c r="I298" s="14" t="s">
        <v>458</v>
      </c>
      <c r="J298" s="12" t="s">
        <v>1174</v>
      </c>
      <c r="K298" s="12" t="s">
        <v>1087</v>
      </c>
      <c r="L298" s="12" t="s">
        <v>461</v>
      </c>
      <c r="M298" s="12" t="s">
        <v>472</v>
      </c>
      <c r="N298" s="14" t="s">
        <v>381</v>
      </c>
      <c r="O298" s="14"/>
      <c r="P298" s="12" t="s">
        <v>382</v>
      </c>
      <c r="Q298" s="12" t="s">
        <v>1177</v>
      </c>
      <c r="R298" s="12" t="s">
        <v>1178</v>
      </c>
    </row>
    <row r="299" customFormat="false" ht="30" hidden="false" customHeight="true" outlineLevel="0" collapsed="false">
      <c r="A299" s="12" t="s">
        <v>378</v>
      </c>
      <c r="B299" s="12" t="s">
        <v>1171</v>
      </c>
      <c r="C299" s="12" t="n">
        <v>4</v>
      </c>
      <c r="D299" s="13" t="str">
        <f aca="false">HYPERLINK(BaseURL&amp;"/proposals/grayson-tyvk5z","Grayson")</f>
        <v>Grayson</v>
      </c>
      <c r="E299" s="12" t="s">
        <v>465</v>
      </c>
      <c r="F299" s="12" t="s">
        <v>86</v>
      </c>
      <c r="G299" s="12" t="s">
        <v>466</v>
      </c>
      <c r="H299" s="12" t="s">
        <v>83</v>
      </c>
      <c r="I299" s="14" t="s">
        <v>458</v>
      </c>
      <c r="J299" s="12" t="s">
        <v>1174</v>
      </c>
      <c r="K299" s="12" t="s">
        <v>1087</v>
      </c>
      <c r="L299" s="12" t="s">
        <v>461</v>
      </c>
      <c r="M299" s="12" t="s">
        <v>472</v>
      </c>
      <c r="N299" s="14" t="s">
        <v>381</v>
      </c>
      <c r="O299" s="14"/>
      <c r="P299" s="12" t="s">
        <v>382</v>
      </c>
      <c r="Q299" s="12" t="s">
        <v>1179</v>
      </c>
      <c r="R299" s="12" t="s">
        <v>1180</v>
      </c>
    </row>
    <row r="300" customFormat="false" ht="30" hidden="false" customHeight="true" outlineLevel="0" collapsed="false">
      <c r="A300" s="12" t="s">
        <v>385</v>
      </c>
      <c r="B300" s="12" t="s">
        <v>1181</v>
      </c>
      <c r="C300" s="12" t="n">
        <v>1</v>
      </c>
      <c r="D300" s="13" t="str">
        <f aca="false">HYPERLINK(BaseURL&amp;"/proposals/coyanosa-gas-w0htce","Coyanosa Gas")</f>
        <v>Coyanosa Gas</v>
      </c>
      <c r="E300" s="12" t="s">
        <v>39</v>
      </c>
      <c r="F300" s="12" t="s">
        <v>86</v>
      </c>
      <c r="G300" s="12" t="s">
        <v>457</v>
      </c>
      <c r="H300" s="12" t="s">
        <v>83</v>
      </c>
      <c r="I300" s="14" t="s">
        <v>458</v>
      </c>
      <c r="J300" s="12" t="s">
        <v>1182</v>
      </c>
      <c r="K300" s="12" t="s">
        <v>1087</v>
      </c>
      <c r="L300" s="12" t="s">
        <v>461</v>
      </c>
      <c r="M300" s="12" t="s">
        <v>480</v>
      </c>
      <c r="N300" s="14" t="s">
        <v>388</v>
      </c>
      <c r="O300" s="14"/>
      <c r="P300" s="12" t="s">
        <v>389</v>
      </c>
      <c r="Q300" s="12" t="s">
        <v>1183</v>
      </c>
      <c r="R300" s="12" t="s">
        <v>1184</v>
      </c>
    </row>
    <row r="301" customFormat="false" ht="30" hidden="false" customHeight="true" outlineLevel="0" collapsed="false">
      <c r="A301" s="12" t="s">
        <v>385</v>
      </c>
      <c r="B301" s="12" t="s">
        <v>1181</v>
      </c>
      <c r="C301" s="12" t="n">
        <v>2</v>
      </c>
      <c r="D301" s="13" t="str">
        <f aca="false">HYPERLINK(BaseURL&amp;"/proposals/coyanosa-gas-zevpqn","Coyanosa Gas")</f>
        <v>Coyanosa Gas</v>
      </c>
      <c r="E301" s="12" t="s">
        <v>465</v>
      </c>
      <c r="F301" s="12" t="s">
        <v>86</v>
      </c>
      <c r="G301" s="12" t="s">
        <v>466</v>
      </c>
      <c r="H301" s="12" t="s">
        <v>83</v>
      </c>
      <c r="I301" s="14" t="s">
        <v>458</v>
      </c>
      <c r="J301" s="12" t="s">
        <v>1182</v>
      </c>
      <c r="K301" s="12" t="s">
        <v>1087</v>
      </c>
      <c r="L301" s="12" t="s">
        <v>461</v>
      </c>
      <c r="M301" s="12" t="s">
        <v>480</v>
      </c>
      <c r="N301" s="14" t="s">
        <v>388</v>
      </c>
      <c r="O301" s="14"/>
      <c r="P301" s="12" t="s">
        <v>389</v>
      </c>
      <c r="Q301" s="12" t="s">
        <v>1185</v>
      </c>
      <c r="R301" s="12" t="s">
        <v>1186</v>
      </c>
    </row>
    <row r="302" customFormat="false" ht="30" hidden="false" customHeight="true" outlineLevel="0" collapsed="false">
      <c r="A302" s="12" t="s">
        <v>385</v>
      </c>
      <c r="B302" s="12" t="s">
        <v>1181</v>
      </c>
      <c r="C302" s="12" t="n">
        <v>3</v>
      </c>
      <c r="D302" s="13" t="str">
        <f aca="false">HYPERLINK(BaseURL&amp;"/proposals/coyanosa-gas-trg26e","Coyanosa Gas")</f>
        <v>Coyanosa Gas</v>
      </c>
      <c r="E302" s="12" t="s">
        <v>465</v>
      </c>
      <c r="F302" s="12" t="s">
        <v>86</v>
      </c>
      <c r="G302" s="12" t="s">
        <v>466</v>
      </c>
      <c r="H302" s="12" t="s">
        <v>83</v>
      </c>
      <c r="I302" s="14" t="s">
        <v>458</v>
      </c>
      <c r="J302" s="12" t="s">
        <v>1182</v>
      </c>
      <c r="K302" s="12" t="s">
        <v>1087</v>
      </c>
      <c r="L302" s="12" t="s">
        <v>461</v>
      </c>
      <c r="M302" s="12" t="s">
        <v>480</v>
      </c>
      <c r="N302" s="14" t="s">
        <v>388</v>
      </c>
      <c r="O302" s="14"/>
      <c r="P302" s="12" t="s">
        <v>389</v>
      </c>
      <c r="Q302" s="12" t="s">
        <v>1187</v>
      </c>
      <c r="R302" s="12" t="s">
        <v>1188</v>
      </c>
    </row>
    <row r="303" customFormat="false" ht="30" hidden="false" customHeight="true" outlineLevel="0" collapsed="false">
      <c r="A303" s="12" t="s">
        <v>385</v>
      </c>
      <c r="B303" s="12" t="s">
        <v>1181</v>
      </c>
      <c r="C303" s="12" t="n">
        <v>4</v>
      </c>
      <c r="D303" s="13" t="str">
        <f aca="false">HYPERLINK(BaseURL&amp;"/proposals/coyanosa-gas-x19xee","Coyanosa Gas")</f>
        <v>Coyanosa Gas</v>
      </c>
      <c r="E303" s="12" t="s">
        <v>465</v>
      </c>
      <c r="F303" s="12" t="s">
        <v>86</v>
      </c>
      <c r="G303" s="12" t="s">
        <v>466</v>
      </c>
      <c r="H303" s="12" t="s">
        <v>83</v>
      </c>
      <c r="I303" s="14" t="s">
        <v>458</v>
      </c>
      <c r="J303" s="12" t="s">
        <v>1182</v>
      </c>
      <c r="K303" s="12" t="s">
        <v>1087</v>
      </c>
      <c r="L303" s="12" t="s">
        <v>461</v>
      </c>
      <c r="M303" s="12" t="s">
        <v>480</v>
      </c>
      <c r="N303" s="14" t="s">
        <v>388</v>
      </c>
      <c r="O303" s="14"/>
      <c r="P303" s="12" t="s">
        <v>389</v>
      </c>
      <c r="Q303" s="12" t="s">
        <v>1189</v>
      </c>
      <c r="R303" s="12" t="s">
        <v>1190</v>
      </c>
    </row>
    <row r="304" customFormat="false" ht="30" hidden="false" customHeight="true" outlineLevel="0" collapsed="false">
      <c r="A304" s="12" t="s">
        <v>392</v>
      </c>
      <c r="B304" s="12" t="s">
        <v>1191</v>
      </c>
      <c r="C304" s="12" t="n">
        <v>1</v>
      </c>
      <c r="D304" s="13" t="str">
        <f aca="false">HYPERLINK(BaseURL&amp;"/proposals/darden-iii-solar-r3dc7d","Darden III Solar")</f>
        <v>Darden III Solar</v>
      </c>
      <c r="E304" s="12" t="s">
        <v>39</v>
      </c>
      <c r="F304" s="12" t="s">
        <v>86</v>
      </c>
      <c r="G304" s="12" t="s">
        <v>457</v>
      </c>
      <c r="H304" s="12" t="s">
        <v>83</v>
      </c>
      <c r="I304" s="14" t="s">
        <v>458</v>
      </c>
      <c r="J304" s="12" t="s">
        <v>1192</v>
      </c>
      <c r="K304" s="12" t="s">
        <v>467</v>
      </c>
      <c r="L304" s="12" t="s">
        <v>796</v>
      </c>
      <c r="M304" s="12" t="s">
        <v>472</v>
      </c>
      <c r="N304" s="14" t="s">
        <v>395</v>
      </c>
      <c r="O304" s="14"/>
      <c r="P304" s="12" t="s">
        <v>396</v>
      </c>
      <c r="Q304" s="12" t="s">
        <v>1193</v>
      </c>
      <c r="R304" s="12" t="s">
        <v>1194</v>
      </c>
    </row>
    <row r="305" customFormat="false" ht="30" hidden="false" customHeight="true" outlineLevel="0" collapsed="false">
      <c r="A305" s="12" t="s">
        <v>392</v>
      </c>
      <c r="B305" s="12" t="s">
        <v>1191</v>
      </c>
      <c r="C305" s="12" t="n">
        <v>2</v>
      </c>
      <c r="D305" s="13" t="str">
        <f aca="false">HYPERLINK(BaseURL&amp;"/proposals/darden-iii-solar-3c9zsw","Darden III Solar")</f>
        <v>Darden III Solar</v>
      </c>
      <c r="E305" s="12" t="s">
        <v>465</v>
      </c>
      <c r="F305" s="12" t="s">
        <v>86</v>
      </c>
      <c r="G305" s="12" t="s">
        <v>466</v>
      </c>
      <c r="H305" s="12" t="s">
        <v>83</v>
      </c>
      <c r="I305" s="14" t="s">
        <v>458</v>
      </c>
      <c r="J305" s="12" t="s">
        <v>1195</v>
      </c>
      <c r="K305" s="12" t="s">
        <v>460</v>
      </c>
      <c r="L305" s="12" t="s">
        <v>796</v>
      </c>
      <c r="M305" s="12" t="s">
        <v>472</v>
      </c>
      <c r="N305" s="14" t="s">
        <v>395</v>
      </c>
      <c r="O305" s="14"/>
      <c r="P305" s="12" t="s">
        <v>396</v>
      </c>
      <c r="Q305" s="12" t="s">
        <v>1196</v>
      </c>
      <c r="R305" s="12" t="s">
        <v>1197</v>
      </c>
    </row>
    <row r="306" customFormat="false" ht="30" hidden="false" customHeight="true" outlineLevel="0" collapsed="false">
      <c r="A306" s="12" t="s">
        <v>399</v>
      </c>
      <c r="B306" s="12" t="s">
        <v>1198</v>
      </c>
      <c r="C306" s="12" t="n">
        <v>1</v>
      </c>
      <c r="D306" s="13" t="str">
        <f aca="false">HYPERLINK(BaseURL&amp;"/proposals/sienna-2-solar-and-storage-project-ygr33b","Sienna 2 Solar and Storage Project")</f>
        <v>Sienna 2 Solar and Storage Project</v>
      </c>
      <c r="E306" s="12" t="s">
        <v>39</v>
      </c>
      <c r="F306" s="12" t="s">
        <v>86</v>
      </c>
      <c r="G306" s="12" t="s">
        <v>457</v>
      </c>
      <c r="H306" s="12" t="s">
        <v>83</v>
      </c>
      <c r="I306" s="14" t="s">
        <v>458</v>
      </c>
      <c r="J306" s="12" t="s">
        <v>1199</v>
      </c>
      <c r="K306" s="12" t="s">
        <v>467</v>
      </c>
      <c r="L306" s="12" t="s">
        <v>471</v>
      </c>
      <c r="M306" s="12" t="s">
        <v>472</v>
      </c>
      <c r="N306" s="14" t="s">
        <v>402</v>
      </c>
      <c r="O306" s="14"/>
      <c r="P306" s="12" t="s">
        <v>403</v>
      </c>
      <c r="Q306" s="12" t="s">
        <v>1200</v>
      </c>
      <c r="R306" s="12" t="s">
        <v>1201</v>
      </c>
    </row>
    <row r="307" customFormat="false" ht="30" hidden="false" customHeight="true" outlineLevel="0" collapsed="false">
      <c r="A307" s="12" t="s">
        <v>399</v>
      </c>
      <c r="B307" s="12" t="s">
        <v>1198</v>
      </c>
      <c r="C307" s="12" t="n">
        <v>2</v>
      </c>
      <c r="D307" s="13" t="str">
        <f aca="false">HYPERLINK(BaseURL&amp;"/proposals/sienna-2-solar-and-storage-project-avyz87","Sienna 2 Solar and Storage Project")</f>
        <v>Sienna 2 Solar and Storage Project</v>
      </c>
      <c r="E307" s="12" t="s">
        <v>465</v>
      </c>
      <c r="F307" s="12" t="s">
        <v>86</v>
      </c>
      <c r="G307" s="12" t="s">
        <v>466</v>
      </c>
      <c r="H307" s="12" t="s">
        <v>83</v>
      </c>
      <c r="I307" s="14" t="s">
        <v>458</v>
      </c>
      <c r="J307" s="12" t="s">
        <v>1199</v>
      </c>
      <c r="K307" s="12" t="s">
        <v>460</v>
      </c>
      <c r="L307" s="12" t="s">
        <v>471</v>
      </c>
      <c r="M307" s="12" t="s">
        <v>472</v>
      </c>
      <c r="N307" s="14" t="s">
        <v>402</v>
      </c>
      <c r="O307" s="14"/>
      <c r="P307" s="12" t="s">
        <v>403</v>
      </c>
      <c r="Q307" s="12" t="s">
        <v>1202</v>
      </c>
      <c r="R307" s="12" t="s">
        <v>1203</v>
      </c>
    </row>
    <row r="308" customFormat="false" ht="30" hidden="false" customHeight="true" outlineLevel="0" collapsed="false">
      <c r="A308" s="12" t="s">
        <v>406</v>
      </c>
      <c r="B308" s="12" t="s">
        <v>1204</v>
      </c>
      <c r="C308" s="12" t="n">
        <v>1</v>
      </c>
      <c r="D308" s="13" t="str">
        <f aca="false">HYPERLINK(BaseURL&amp;"/proposals/nl-ny-pulaski-ejyppe","NL NY- Pulaski")</f>
        <v>NL NY- Pulaski</v>
      </c>
      <c r="E308" s="12" t="s">
        <v>39</v>
      </c>
      <c r="F308" s="12" t="s">
        <v>86</v>
      </c>
      <c r="G308" s="12" t="s">
        <v>457</v>
      </c>
      <c r="H308" s="12" t="s">
        <v>83</v>
      </c>
      <c r="I308" s="14" t="s">
        <v>458</v>
      </c>
      <c r="J308" s="12" t="s">
        <v>1182</v>
      </c>
      <c r="K308" s="12" t="s">
        <v>460</v>
      </c>
      <c r="L308" s="12" t="s">
        <v>461</v>
      </c>
      <c r="M308" s="12" t="s">
        <v>947</v>
      </c>
      <c r="N308" s="14" t="s">
        <v>409</v>
      </c>
      <c r="O308" s="14"/>
      <c r="P308" s="12" t="s">
        <v>410</v>
      </c>
      <c r="Q308" s="12" t="s">
        <v>1205</v>
      </c>
      <c r="R308" s="12" t="s">
        <v>1206</v>
      </c>
    </row>
    <row r="309" customFormat="false" ht="30" hidden="false" customHeight="true" outlineLevel="0" collapsed="false">
      <c r="A309" s="12" t="s">
        <v>406</v>
      </c>
      <c r="B309" s="12" t="s">
        <v>1204</v>
      </c>
      <c r="C309" s="12" t="n">
        <v>2</v>
      </c>
      <c r="D309" s="13" t="str">
        <f aca="false">HYPERLINK(BaseURL&amp;"/proposals/nl-ny-pulaski-xb5dgv","NL NY- Pulaski")</f>
        <v>NL NY- Pulaski</v>
      </c>
      <c r="E309" s="12" t="s">
        <v>465</v>
      </c>
      <c r="F309" s="12" t="s">
        <v>86</v>
      </c>
      <c r="G309" s="12" t="s">
        <v>466</v>
      </c>
      <c r="H309" s="12" t="s">
        <v>83</v>
      </c>
      <c r="I309" s="14" t="s">
        <v>458</v>
      </c>
      <c r="J309" s="12" t="s">
        <v>1182</v>
      </c>
      <c r="K309" s="12" t="s">
        <v>467</v>
      </c>
      <c r="L309" s="12" t="s">
        <v>461</v>
      </c>
      <c r="M309" s="12" t="s">
        <v>947</v>
      </c>
      <c r="N309" s="14" t="s">
        <v>409</v>
      </c>
      <c r="O309" s="14"/>
      <c r="P309" s="12" t="s">
        <v>410</v>
      </c>
      <c r="Q309" s="12" t="s">
        <v>1207</v>
      </c>
      <c r="R309" s="12" t="s">
        <v>1208</v>
      </c>
    </row>
    <row r="310" customFormat="false" ht="30" hidden="false" customHeight="true" outlineLevel="0" collapsed="false">
      <c r="A310" s="12" t="s">
        <v>413</v>
      </c>
      <c r="B310" s="12" t="s">
        <v>1209</v>
      </c>
      <c r="C310" s="12" t="n">
        <v>1</v>
      </c>
      <c r="D310" s="13" t="str">
        <f aca="false">HYPERLINK(BaseURL&amp;"/proposals/kingston-e54cvc","Kingston")</f>
        <v>Kingston</v>
      </c>
      <c r="E310" s="12" t="s">
        <v>39</v>
      </c>
      <c r="F310" s="12" t="s">
        <v>86</v>
      </c>
      <c r="G310" s="12" t="s">
        <v>457</v>
      </c>
      <c r="H310" s="12" t="s">
        <v>83</v>
      </c>
      <c r="I310" s="14" t="s">
        <v>458</v>
      </c>
      <c r="J310" s="12" t="s">
        <v>1210</v>
      </c>
      <c r="K310" s="12" t="s">
        <v>510</v>
      </c>
      <c r="L310" s="12" t="s">
        <v>471</v>
      </c>
      <c r="M310" s="12" t="s">
        <v>1211</v>
      </c>
      <c r="N310" s="14" t="s">
        <v>416</v>
      </c>
      <c r="O310" s="14"/>
      <c r="P310" s="12" t="s">
        <v>417</v>
      </c>
      <c r="Q310" s="12" t="s">
        <v>1212</v>
      </c>
      <c r="R310" s="12" t="s">
        <v>1213</v>
      </c>
    </row>
    <row r="311" customFormat="false" ht="30" hidden="false" customHeight="true" outlineLevel="0" collapsed="false">
      <c r="A311" s="12" t="s">
        <v>413</v>
      </c>
      <c r="B311" s="12" t="s">
        <v>1209</v>
      </c>
      <c r="C311" s="12" t="n">
        <v>2</v>
      </c>
      <c r="D311" s="13" t="str">
        <f aca="false">HYPERLINK(BaseURL&amp;"/proposals/kingston-7m9t9j","Kingston")</f>
        <v>Kingston</v>
      </c>
      <c r="E311" s="12" t="s">
        <v>465</v>
      </c>
      <c r="F311" s="12" t="s">
        <v>86</v>
      </c>
      <c r="G311" s="12" t="s">
        <v>466</v>
      </c>
      <c r="H311" s="12" t="s">
        <v>83</v>
      </c>
      <c r="I311" s="14" t="s">
        <v>458</v>
      </c>
      <c r="J311" s="12" t="s">
        <v>1214</v>
      </c>
      <c r="K311" s="12" t="s">
        <v>510</v>
      </c>
      <c r="L311" s="12" t="s">
        <v>471</v>
      </c>
      <c r="M311" s="12" t="s">
        <v>1211</v>
      </c>
      <c r="N311" s="14" t="s">
        <v>416</v>
      </c>
      <c r="O311" s="14"/>
      <c r="P311" s="12" t="s">
        <v>417</v>
      </c>
      <c r="Q311" s="12" t="s">
        <v>1215</v>
      </c>
      <c r="R311" s="12" t="s">
        <v>1216</v>
      </c>
    </row>
    <row r="312" customFormat="false" ht="30" hidden="false" customHeight="true" outlineLevel="0" collapsed="false">
      <c r="A312" s="12" t="s">
        <v>413</v>
      </c>
      <c r="B312" s="12" t="s">
        <v>1209</v>
      </c>
      <c r="C312" s="12" t="n">
        <v>3</v>
      </c>
      <c r="D312" s="13" t="str">
        <f aca="false">HYPERLINK(BaseURL&amp;"/proposals/kingston-kcx810","Kingston")</f>
        <v>Kingston</v>
      </c>
      <c r="E312" s="12" t="s">
        <v>465</v>
      </c>
      <c r="F312" s="12" t="s">
        <v>86</v>
      </c>
      <c r="G312" s="12" t="s">
        <v>466</v>
      </c>
      <c r="H312" s="12" t="s">
        <v>83</v>
      </c>
      <c r="I312" s="14" t="s">
        <v>458</v>
      </c>
      <c r="J312" s="12" t="s">
        <v>1217</v>
      </c>
      <c r="K312" s="12" t="s">
        <v>487</v>
      </c>
      <c r="L312" s="12" t="s">
        <v>471</v>
      </c>
      <c r="M312" s="12" t="s">
        <v>1211</v>
      </c>
      <c r="N312" s="14" t="s">
        <v>416</v>
      </c>
      <c r="O312" s="14"/>
      <c r="P312" s="12" t="s">
        <v>417</v>
      </c>
      <c r="Q312" s="12" t="s">
        <v>1218</v>
      </c>
      <c r="R312" s="12" t="s">
        <v>1219</v>
      </c>
    </row>
    <row r="313" customFormat="false" ht="30" hidden="false" customHeight="true" outlineLevel="0" collapsed="false">
      <c r="A313" s="12" t="s">
        <v>413</v>
      </c>
      <c r="B313" s="12" t="s">
        <v>1209</v>
      </c>
      <c r="C313" s="12" t="n">
        <v>4</v>
      </c>
      <c r="D313" s="13" t="str">
        <f aca="false">HYPERLINK(BaseURL&amp;"/proposals/kingston-q933wx","Kingston")</f>
        <v>Kingston</v>
      </c>
      <c r="E313" s="12" t="s">
        <v>465</v>
      </c>
      <c r="F313" s="12" t="s">
        <v>86</v>
      </c>
      <c r="G313" s="12" t="s">
        <v>466</v>
      </c>
      <c r="H313" s="12" t="s">
        <v>83</v>
      </c>
      <c r="I313" s="14" t="s">
        <v>458</v>
      </c>
      <c r="J313" s="12" t="s">
        <v>1217</v>
      </c>
      <c r="K313" s="12" t="s">
        <v>487</v>
      </c>
      <c r="L313" s="12" t="s">
        <v>471</v>
      </c>
      <c r="M313" s="12" t="s">
        <v>1211</v>
      </c>
      <c r="N313" s="14" t="s">
        <v>416</v>
      </c>
      <c r="O313" s="14"/>
      <c r="P313" s="12" t="s">
        <v>417</v>
      </c>
      <c r="Q313" s="12" t="s">
        <v>1220</v>
      </c>
      <c r="R313" s="12" t="s">
        <v>1221</v>
      </c>
    </row>
    <row r="314" customFormat="false" ht="30" hidden="false" customHeight="true" outlineLevel="0" collapsed="false">
      <c r="A314" s="12" t="s">
        <v>413</v>
      </c>
      <c r="B314" s="12" t="s">
        <v>1209</v>
      </c>
      <c r="C314" s="12" t="n">
        <v>5</v>
      </c>
      <c r="D314" s="13" t="str">
        <f aca="false">HYPERLINK(BaseURL&amp;"/proposals/kingston-ny0687","Kingston")</f>
        <v>Kingston</v>
      </c>
      <c r="E314" s="12" t="s">
        <v>465</v>
      </c>
      <c r="F314" s="12" t="s">
        <v>86</v>
      </c>
      <c r="G314" s="12" t="s">
        <v>466</v>
      </c>
      <c r="H314" s="12" t="s">
        <v>83</v>
      </c>
      <c r="I314" s="14" t="s">
        <v>458</v>
      </c>
      <c r="J314" s="12" t="s">
        <v>1217</v>
      </c>
      <c r="K314" s="12" t="s">
        <v>487</v>
      </c>
      <c r="L314" s="12" t="s">
        <v>471</v>
      </c>
      <c r="M314" s="12" t="s">
        <v>1211</v>
      </c>
      <c r="N314" s="14" t="s">
        <v>416</v>
      </c>
      <c r="O314" s="14"/>
      <c r="P314" s="12" t="s">
        <v>417</v>
      </c>
      <c r="Q314" s="12" t="s">
        <v>1222</v>
      </c>
      <c r="R314" s="12" t="s">
        <v>1223</v>
      </c>
    </row>
    <row r="315" customFormat="false" ht="30" hidden="false" customHeight="true" outlineLevel="0" collapsed="false">
      <c r="A315" s="12" t="s">
        <v>413</v>
      </c>
      <c r="B315" s="12" t="s">
        <v>1209</v>
      </c>
      <c r="C315" s="12" t="n">
        <v>6</v>
      </c>
      <c r="D315" s="13" t="str">
        <f aca="false">HYPERLINK(BaseURL&amp;"/proposals/kingston-53e2tt","Kingston")</f>
        <v>Kingston</v>
      </c>
      <c r="E315" s="12" t="s">
        <v>465</v>
      </c>
      <c r="F315" s="12" t="s">
        <v>86</v>
      </c>
      <c r="G315" s="12" t="s">
        <v>466</v>
      </c>
      <c r="H315" s="12" t="s">
        <v>83</v>
      </c>
      <c r="I315" s="14" t="s">
        <v>458</v>
      </c>
      <c r="J315" s="12" t="s">
        <v>1217</v>
      </c>
      <c r="K315" s="12" t="s">
        <v>487</v>
      </c>
      <c r="L315" s="12" t="s">
        <v>471</v>
      </c>
      <c r="M315" s="12" t="s">
        <v>1211</v>
      </c>
      <c r="N315" s="14" t="s">
        <v>416</v>
      </c>
      <c r="O315" s="14"/>
      <c r="P315" s="12" t="s">
        <v>417</v>
      </c>
      <c r="Q315" s="12" t="s">
        <v>1224</v>
      </c>
      <c r="R315" s="12" t="s">
        <v>1225</v>
      </c>
    </row>
    <row r="316" customFormat="false" ht="30" hidden="false" customHeight="true" outlineLevel="0" collapsed="false">
      <c r="A316" s="12" t="s">
        <v>413</v>
      </c>
      <c r="B316" s="12" t="s">
        <v>1209</v>
      </c>
      <c r="C316" s="12" t="n">
        <v>7</v>
      </c>
      <c r="D316" s="13" t="str">
        <f aca="false">HYPERLINK(BaseURL&amp;"/proposals/kingston-6qqr3z","Kingston")</f>
        <v>Kingston</v>
      </c>
      <c r="E316" s="12" t="s">
        <v>465</v>
      </c>
      <c r="F316" s="12" t="s">
        <v>86</v>
      </c>
      <c r="G316" s="12" t="s">
        <v>466</v>
      </c>
      <c r="H316" s="12" t="s">
        <v>83</v>
      </c>
      <c r="I316" s="14" t="s">
        <v>458</v>
      </c>
      <c r="J316" s="12" t="s">
        <v>1217</v>
      </c>
      <c r="K316" s="12" t="s">
        <v>487</v>
      </c>
      <c r="L316" s="12" t="s">
        <v>471</v>
      </c>
      <c r="M316" s="12" t="s">
        <v>1211</v>
      </c>
      <c r="N316" s="14" t="s">
        <v>416</v>
      </c>
      <c r="O316" s="14"/>
      <c r="P316" s="12" t="s">
        <v>417</v>
      </c>
      <c r="Q316" s="12" t="s">
        <v>1226</v>
      </c>
      <c r="R316" s="12" t="s">
        <v>1227</v>
      </c>
    </row>
    <row r="317" customFormat="false" ht="30" hidden="false" customHeight="true" outlineLevel="0" collapsed="false">
      <c r="A317" s="12" t="s">
        <v>413</v>
      </c>
      <c r="B317" s="12" t="s">
        <v>1209</v>
      </c>
      <c r="C317" s="12" t="n">
        <v>8</v>
      </c>
      <c r="D317" s="13" t="str">
        <f aca="false">HYPERLINK(BaseURL&amp;"/proposals/kingston-krtd3g","Kingston")</f>
        <v>Kingston</v>
      </c>
      <c r="E317" s="12" t="s">
        <v>465</v>
      </c>
      <c r="F317" s="12" t="s">
        <v>86</v>
      </c>
      <c r="G317" s="12" t="s">
        <v>466</v>
      </c>
      <c r="H317" s="12" t="s">
        <v>83</v>
      </c>
      <c r="I317" s="14" t="s">
        <v>458</v>
      </c>
      <c r="J317" s="12" t="s">
        <v>1217</v>
      </c>
      <c r="K317" s="12" t="s">
        <v>487</v>
      </c>
      <c r="L317" s="12" t="s">
        <v>471</v>
      </c>
      <c r="M317" s="12" t="s">
        <v>1211</v>
      </c>
      <c r="N317" s="14" t="s">
        <v>416</v>
      </c>
      <c r="O317" s="14"/>
      <c r="P317" s="12" t="s">
        <v>417</v>
      </c>
      <c r="Q317" s="12" t="s">
        <v>1228</v>
      </c>
      <c r="R317" s="12" t="s">
        <v>1229</v>
      </c>
    </row>
    <row r="318" customFormat="false" ht="30" hidden="false" customHeight="true" outlineLevel="0" collapsed="false">
      <c r="A318" s="12" t="s">
        <v>413</v>
      </c>
      <c r="B318" s="12" t="s">
        <v>1209</v>
      </c>
      <c r="C318" s="12" t="n">
        <v>9</v>
      </c>
      <c r="D318" s="13" t="str">
        <f aca="false">HYPERLINK(BaseURL&amp;"/proposals/kingston-e3d8hm","Kingston")</f>
        <v>Kingston</v>
      </c>
      <c r="E318" s="12" t="s">
        <v>465</v>
      </c>
      <c r="F318" s="12" t="s">
        <v>86</v>
      </c>
      <c r="G318" s="12" t="s">
        <v>466</v>
      </c>
      <c r="H318" s="12" t="s">
        <v>83</v>
      </c>
      <c r="I318" s="14" t="s">
        <v>458</v>
      </c>
      <c r="J318" s="12" t="s">
        <v>1217</v>
      </c>
      <c r="K318" s="12" t="s">
        <v>487</v>
      </c>
      <c r="L318" s="12" t="s">
        <v>471</v>
      </c>
      <c r="M318" s="12" t="s">
        <v>1211</v>
      </c>
      <c r="N318" s="14" t="s">
        <v>416</v>
      </c>
      <c r="O318" s="14"/>
      <c r="P318" s="12" t="s">
        <v>417</v>
      </c>
      <c r="Q318" s="12" t="s">
        <v>1230</v>
      </c>
      <c r="R318" s="12" t="s">
        <v>1231</v>
      </c>
    </row>
    <row r="319" customFormat="false" ht="30" hidden="false" customHeight="true" outlineLevel="0" collapsed="false">
      <c r="A319" s="12" t="s">
        <v>413</v>
      </c>
      <c r="B319" s="12" t="s">
        <v>1209</v>
      </c>
      <c r="C319" s="12" t="n">
        <v>10</v>
      </c>
      <c r="D319" s="13" t="str">
        <f aca="false">HYPERLINK(BaseURL&amp;"/proposals/kingston-5z1g9k","Kingston")</f>
        <v>Kingston</v>
      </c>
      <c r="E319" s="12" t="s">
        <v>465</v>
      </c>
      <c r="F319" s="12" t="s">
        <v>86</v>
      </c>
      <c r="G319" s="12" t="s">
        <v>466</v>
      </c>
      <c r="H319" s="12" t="s">
        <v>83</v>
      </c>
      <c r="I319" s="14" t="s">
        <v>458</v>
      </c>
      <c r="J319" s="12" t="s">
        <v>1217</v>
      </c>
      <c r="K319" s="12" t="s">
        <v>487</v>
      </c>
      <c r="L319" s="12" t="s">
        <v>471</v>
      </c>
      <c r="M319" s="12" t="s">
        <v>1211</v>
      </c>
      <c r="N319" s="14" t="s">
        <v>416</v>
      </c>
      <c r="O319" s="14"/>
      <c r="P319" s="12" t="s">
        <v>417</v>
      </c>
      <c r="Q319" s="12" t="s">
        <v>1232</v>
      </c>
      <c r="R319" s="12" t="s">
        <v>1233</v>
      </c>
    </row>
    <row r="320" customFormat="false" ht="30" hidden="false" customHeight="true" outlineLevel="0" collapsed="false">
      <c r="A320" s="12" t="s">
        <v>413</v>
      </c>
      <c r="B320" s="12" t="s">
        <v>1209</v>
      </c>
      <c r="C320" s="12" t="n">
        <v>11</v>
      </c>
      <c r="D320" s="13" t="str">
        <f aca="false">HYPERLINK(BaseURL&amp;"/proposals/kingston-sjvq9z","Kingston")</f>
        <v>Kingston</v>
      </c>
      <c r="E320" s="12" t="s">
        <v>465</v>
      </c>
      <c r="F320" s="12" t="s">
        <v>86</v>
      </c>
      <c r="G320" s="12" t="s">
        <v>466</v>
      </c>
      <c r="H320" s="12" t="s">
        <v>83</v>
      </c>
      <c r="I320" s="14" t="s">
        <v>458</v>
      </c>
      <c r="J320" s="12" t="s">
        <v>1217</v>
      </c>
      <c r="K320" s="12" t="s">
        <v>487</v>
      </c>
      <c r="L320" s="12" t="s">
        <v>471</v>
      </c>
      <c r="M320" s="12" t="s">
        <v>1211</v>
      </c>
      <c r="N320" s="14" t="s">
        <v>416</v>
      </c>
      <c r="O320" s="14"/>
      <c r="P320" s="12" t="s">
        <v>417</v>
      </c>
      <c r="Q320" s="12" t="s">
        <v>1234</v>
      </c>
      <c r="R320" s="12" t="s">
        <v>1235</v>
      </c>
    </row>
    <row r="321" customFormat="false" ht="30" hidden="false" customHeight="true" outlineLevel="0" collapsed="false">
      <c r="A321" s="12" t="s">
        <v>413</v>
      </c>
      <c r="B321" s="12" t="s">
        <v>1209</v>
      </c>
      <c r="C321" s="12" t="n">
        <v>12</v>
      </c>
      <c r="D321" s="13" t="str">
        <f aca="false">HYPERLINK(BaseURL&amp;"/proposals/kingston-rpfd0s","Kingston")</f>
        <v>Kingston</v>
      </c>
      <c r="E321" s="12" t="s">
        <v>465</v>
      </c>
      <c r="F321" s="12" t="s">
        <v>86</v>
      </c>
      <c r="G321" s="12" t="s">
        <v>466</v>
      </c>
      <c r="H321" s="12" t="s">
        <v>83</v>
      </c>
      <c r="I321" s="14" t="s">
        <v>458</v>
      </c>
      <c r="J321" s="12" t="s">
        <v>1217</v>
      </c>
      <c r="K321" s="12" t="s">
        <v>487</v>
      </c>
      <c r="L321" s="12" t="s">
        <v>471</v>
      </c>
      <c r="M321" s="12" t="s">
        <v>1211</v>
      </c>
      <c r="N321" s="14" t="s">
        <v>416</v>
      </c>
      <c r="O321" s="14"/>
      <c r="P321" s="12" t="s">
        <v>417</v>
      </c>
      <c r="Q321" s="12" t="s">
        <v>1236</v>
      </c>
      <c r="R321" s="12" t="s">
        <v>1237</v>
      </c>
    </row>
    <row r="322" customFormat="false" ht="30" hidden="false" customHeight="true" outlineLevel="0" collapsed="false">
      <c r="A322" s="12" t="s">
        <v>413</v>
      </c>
      <c r="B322" s="12" t="s">
        <v>1209</v>
      </c>
      <c r="C322" s="12" t="n">
        <v>13</v>
      </c>
      <c r="D322" s="13" t="str">
        <f aca="false">HYPERLINK(BaseURL&amp;"/proposals/kingston-q11j3q","Kingston")</f>
        <v>Kingston</v>
      </c>
      <c r="E322" s="12" t="s">
        <v>465</v>
      </c>
      <c r="F322" s="12" t="s">
        <v>86</v>
      </c>
      <c r="G322" s="12" t="s">
        <v>466</v>
      </c>
      <c r="H322" s="12" t="s">
        <v>83</v>
      </c>
      <c r="I322" s="14" t="s">
        <v>458</v>
      </c>
      <c r="J322" s="12" t="s">
        <v>1217</v>
      </c>
      <c r="K322" s="12" t="s">
        <v>487</v>
      </c>
      <c r="L322" s="12" t="s">
        <v>471</v>
      </c>
      <c r="M322" s="12" t="s">
        <v>1211</v>
      </c>
      <c r="N322" s="14" t="s">
        <v>416</v>
      </c>
      <c r="O322" s="14"/>
      <c r="P322" s="12" t="s">
        <v>417</v>
      </c>
      <c r="Q322" s="12" t="s">
        <v>1238</v>
      </c>
      <c r="R322" s="12" t="s">
        <v>1239</v>
      </c>
    </row>
    <row r="323" customFormat="false" ht="30" hidden="false" customHeight="true" outlineLevel="0" collapsed="false">
      <c r="A323" s="12" t="s">
        <v>413</v>
      </c>
      <c r="B323" s="12" t="s">
        <v>1209</v>
      </c>
      <c r="C323" s="12" t="n">
        <v>14</v>
      </c>
      <c r="D323" s="13" t="str">
        <f aca="false">HYPERLINK(BaseURL&amp;"/proposals/kingston-2qpnk1","Kingston")</f>
        <v>Kingston</v>
      </c>
      <c r="E323" s="12" t="s">
        <v>465</v>
      </c>
      <c r="F323" s="12" t="s">
        <v>86</v>
      </c>
      <c r="G323" s="12" t="s">
        <v>466</v>
      </c>
      <c r="H323" s="12" t="s">
        <v>83</v>
      </c>
      <c r="I323" s="14" t="s">
        <v>458</v>
      </c>
      <c r="J323" s="12" t="s">
        <v>1217</v>
      </c>
      <c r="K323" s="12" t="s">
        <v>487</v>
      </c>
      <c r="L323" s="12" t="s">
        <v>471</v>
      </c>
      <c r="M323" s="12" t="s">
        <v>1211</v>
      </c>
      <c r="N323" s="14" t="s">
        <v>416</v>
      </c>
      <c r="O323" s="14"/>
      <c r="P323" s="12" t="s">
        <v>417</v>
      </c>
      <c r="Q323" s="12" t="s">
        <v>1240</v>
      </c>
      <c r="R323" s="12" t="s">
        <v>1241</v>
      </c>
    </row>
    <row r="324" customFormat="false" ht="30" hidden="false" customHeight="true" outlineLevel="0" collapsed="false">
      <c r="A324" s="12" t="s">
        <v>413</v>
      </c>
      <c r="B324" s="12" t="s">
        <v>1209</v>
      </c>
      <c r="C324" s="12" t="n">
        <v>15</v>
      </c>
      <c r="D324" s="13" t="str">
        <f aca="false">HYPERLINK(BaseURL&amp;"/proposals/kingston-scnhws","Kingston")</f>
        <v>Kingston</v>
      </c>
      <c r="E324" s="12" t="s">
        <v>465</v>
      </c>
      <c r="F324" s="12" t="s">
        <v>86</v>
      </c>
      <c r="G324" s="12" t="s">
        <v>466</v>
      </c>
      <c r="H324" s="12" t="s">
        <v>83</v>
      </c>
      <c r="I324" s="14" t="s">
        <v>458</v>
      </c>
      <c r="J324" s="12" t="s">
        <v>1217</v>
      </c>
      <c r="K324" s="12" t="s">
        <v>487</v>
      </c>
      <c r="L324" s="12" t="s">
        <v>471</v>
      </c>
      <c r="M324" s="12" t="s">
        <v>1211</v>
      </c>
      <c r="N324" s="14" t="s">
        <v>416</v>
      </c>
      <c r="O324" s="14"/>
      <c r="P324" s="12" t="s">
        <v>417</v>
      </c>
      <c r="Q324" s="12" t="s">
        <v>1242</v>
      </c>
      <c r="R324" s="12" t="s">
        <v>1243</v>
      </c>
    </row>
    <row r="325" customFormat="false" ht="30" hidden="false" customHeight="true" outlineLevel="0" collapsed="false">
      <c r="A325" s="12" t="s">
        <v>413</v>
      </c>
      <c r="B325" s="12" t="s">
        <v>1209</v>
      </c>
      <c r="C325" s="12" t="n">
        <v>16</v>
      </c>
      <c r="D325" s="13" t="str">
        <f aca="false">HYPERLINK(BaseURL&amp;"/proposals/kingston-vvc105","Kingston")</f>
        <v>Kingston</v>
      </c>
      <c r="E325" s="12" t="s">
        <v>465</v>
      </c>
      <c r="F325" s="12" t="s">
        <v>86</v>
      </c>
      <c r="G325" s="12" t="s">
        <v>466</v>
      </c>
      <c r="H325" s="12" t="s">
        <v>83</v>
      </c>
      <c r="I325" s="14" t="s">
        <v>458</v>
      </c>
      <c r="J325" s="12" t="s">
        <v>1217</v>
      </c>
      <c r="K325" s="12" t="s">
        <v>487</v>
      </c>
      <c r="L325" s="12" t="s">
        <v>471</v>
      </c>
      <c r="M325" s="12" t="s">
        <v>1211</v>
      </c>
      <c r="N325" s="14" t="s">
        <v>416</v>
      </c>
      <c r="O325" s="14"/>
      <c r="P325" s="12" t="s">
        <v>417</v>
      </c>
      <c r="Q325" s="12" t="s">
        <v>1244</v>
      </c>
      <c r="R325" s="12" t="s">
        <v>1245</v>
      </c>
    </row>
    <row r="326" customFormat="false" ht="30" hidden="false" customHeight="true" outlineLevel="0" collapsed="false">
      <c r="A326" s="12" t="s">
        <v>413</v>
      </c>
      <c r="B326" s="12" t="s">
        <v>1209</v>
      </c>
      <c r="C326" s="12" t="n">
        <v>17</v>
      </c>
      <c r="D326" s="13" t="str">
        <f aca="false">HYPERLINK(BaseURL&amp;"/proposals/kingston-nkzdx5","Kingston")</f>
        <v>Kingston</v>
      </c>
      <c r="E326" s="12" t="s">
        <v>465</v>
      </c>
      <c r="F326" s="12" t="s">
        <v>86</v>
      </c>
      <c r="G326" s="12" t="s">
        <v>466</v>
      </c>
      <c r="H326" s="12" t="s">
        <v>83</v>
      </c>
      <c r="I326" s="14" t="s">
        <v>458</v>
      </c>
      <c r="J326" s="12" t="s">
        <v>1217</v>
      </c>
      <c r="K326" s="12" t="s">
        <v>487</v>
      </c>
      <c r="L326" s="12" t="s">
        <v>471</v>
      </c>
      <c r="M326" s="12" t="s">
        <v>1211</v>
      </c>
      <c r="N326" s="14" t="s">
        <v>416</v>
      </c>
      <c r="O326" s="14"/>
      <c r="P326" s="12" t="s">
        <v>417</v>
      </c>
      <c r="Q326" s="12" t="s">
        <v>1246</v>
      </c>
      <c r="R326" s="12" t="s">
        <v>1247</v>
      </c>
    </row>
    <row r="327" customFormat="false" ht="30" hidden="false" customHeight="true" outlineLevel="0" collapsed="false">
      <c r="A327" s="12" t="s">
        <v>413</v>
      </c>
      <c r="B327" s="12" t="s">
        <v>1209</v>
      </c>
      <c r="C327" s="12" t="n">
        <v>18</v>
      </c>
      <c r="D327" s="13" t="str">
        <f aca="false">HYPERLINK(BaseURL&amp;"/proposals/kingston-q7ry7d","Kingston")</f>
        <v>Kingston</v>
      </c>
      <c r="E327" s="12" t="s">
        <v>465</v>
      </c>
      <c r="F327" s="12" t="s">
        <v>86</v>
      </c>
      <c r="G327" s="12" t="s">
        <v>466</v>
      </c>
      <c r="H327" s="12" t="s">
        <v>83</v>
      </c>
      <c r="I327" s="14" t="s">
        <v>458</v>
      </c>
      <c r="J327" s="12" t="s">
        <v>1217</v>
      </c>
      <c r="K327" s="12" t="s">
        <v>487</v>
      </c>
      <c r="L327" s="12" t="s">
        <v>471</v>
      </c>
      <c r="M327" s="12" t="s">
        <v>1211</v>
      </c>
      <c r="N327" s="14" t="s">
        <v>416</v>
      </c>
      <c r="O327" s="14"/>
      <c r="P327" s="12" t="s">
        <v>417</v>
      </c>
      <c r="Q327" s="12" t="s">
        <v>1248</v>
      </c>
      <c r="R327" s="12" t="s">
        <v>1249</v>
      </c>
    </row>
    <row r="328" customFormat="false" ht="30" hidden="false" customHeight="true" outlineLevel="0" collapsed="false">
      <c r="A328" s="12" t="s">
        <v>420</v>
      </c>
      <c r="B328" s="12" t="s">
        <v>1250</v>
      </c>
      <c r="C328" s="12" t="n">
        <v>1</v>
      </c>
      <c r="D328" s="13" t="str">
        <f aca="false">HYPERLINK(BaseURL&amp;"/proposals/sv-csg-manteno-txnjx5","SV CSG Manteno")</f>
        <v>SV CSG Manteno</v>
      </c>
      <c r="E328" s="12" t="s">
        <v>39</v>
      </c>
      <c r="F328" s="12" t="s">
        <v>86</v>
      </c>
      <c r="G328" s="12" t="s">
        <v>457</v>
      </c>
      <c r="H328" s="12" t="s">
        <v>83</v>
      </c>
      <c r="I328" s="14" t="s">
        <v>458</v>
      </c>
      <c r="J328" s="12" t="s">
        <v>845</v>
      </c>
      <c r="K328" s="12" t="s">
        <v>460</v>
      </c>
      <c r="L328" s="12" t="s">
        <v>796</v>
      </c>
      <c r="M328" s="12" t="s">
        <v>1251</v>
      </c>
      <c r="N328" s="14" t="s">
        <v>423</v>
      </c>
      <c r="O328" s="14"/>
      <c r="P328" s="12" t="s">
        <v>424</v>
      </c>
      <c r="Q328" s="12" t="s">
        <v>1252</v>
      </c>
      <c r="R328" s="12" t="s">
        <v>1253</v>
      </c>
    </row>
    <row r="329" customFormat="false" ht="30" hidden="false" customHeight="true" outlineLevel="0" collapsed="false">
      <c r="A329" s="12" t="s">
        <v>420</v>
      </c>
      <c r="B329" s="12" t="s">
        <v>1250</v>
      </c>
      <c r="C329" s="12" t="n">
        <v>2</v>
      </c>
      <c r="D329" s="13" t="str">
        <f aca="false">HYPERLINK(BaseURL&amp;"/proposals/sv-csg-manteno-wj1fvs","SV CSG Manteno")</f>
        <v>SV CSG Manteno</v>
      </c>
      <c r="E329" s="12" t="s">
        <v>465</v>
      </c>
      <c r="F329" s="12" t="s">
        <v>86</v>
      </c>
      <c r="G329" s="12" t="s">
        <v>466</v>
      </c>
      <c r="H329" s="12" t="s">
        <v>83</v>
      </c>
      <c r="I329" s="14" t="s">
        <v>458</v>
      </c>
      <c r="J329" s="12" t="s">
        <v>845</v>
      </c>
      <c r="K329" s="12" t="s">
        <v>467</v>
      </c>
      <c r="L329" s="12" t="s">
        <v>796</v>
      </c>
      <c r="M329" s="12" t="s">
        <v>1251</v>
      </c>
      <c r="N329" s="14" t="s">
        <v>423</v>
      </c>
      <c r="O329" s="14"/>
      <c r="P329" s="12" t="s">
        <v>424</v>
      </c>
      <c r="Q329" s="12" t="s">
        <v>1254</v>
      </c>
      <c r="R329" s="12" t="s">
        <v>1255</v>
      </c>
    </row>
    <row r="330" customFormat="false" ht="30" hidden="false" customHeight="true" outlineLevel="0" collapsed="false">
      <c r="A330" s="12" t="s">
        <v>427</v>
      </c>
      <c r="B330" s="12" t="s">
        <v>1256</v>
      </c>
      <c r="C330" s="12" t="n">
        <v>1</v>
      </c>
      <c r="D330" s="13" t="str">
        <f aca="false">HYPERLINK(BaseURL&amp;"/proposals/marcos-pv-and-bess-38371c","Marcos PV and BESS")</f>
        <v>Marcos PV and BESS</v>
      </c>
      <c r="E330" s="12" t="s">
        <v>39</v>
      </c>
      <c r="F330" s="12" t="s">
        <v>86</v>
      </c>
      <c r="G330" s="12" t="s">
        <v>457</v>
      </c>
      <c r="H330" s="12" t="s">
        <v>83</v>
      </c>
      <c r="I330" s="14" t="s">
        <v>458</v>
      </c>
      <c r="J330" s="12" t="s">
        <v>1257</v>
      </c>
      <c r="K330" s="12" t="s">
        <v>460</v>
      </c>
      <c r="L330" s="12" t="s">
        <v>479</v>
      </c>
      <c r="M330" s="12" t="s">
        <v>480</v>
      </c>
      <c r="N330" s="14" t="s">
        <v>430</v>
      </c>
      <c r="O330" s="14"/>
      <c r="P330" s="12" t="s">
        <v>431</v>
      </c>
      <c r="Q330" s="12" t="s">
        <v>1258</v>
      </c>
      <c r="R330" s="12" t="s">
        <v>1259</v>
      </c>
    </row>
    <row r="331" customFormat="false" ht="30" hidden="false" customHeight="true" outlineLevel="0" collapsed="false">
      <c r="A331" s="12" t="s">
        <v>427</v>
      </c>
      <c r="B331" s="12" t="s">
        <v>1256</v>
      </c>
      <c r="C331" s="12" t="n">
        <v>2</v>
      </c>
      <c r="D331" s="13" t="str">
        <f aca="false">HYPERLINK(BaseURL&amp;"/proposals/marcos-pv-and-bess-579xvd","Marcos PV and BESS")</f>
        <v>Marcos PV and BESS</v>
      </c>
      <c r="E331" s="12" t="s">
        <v>465</v>
      </c>
      <c r="F331" s="12" t="s">
        <v>86</v>
      </c>
      <c r="G331" s="12" t="s">
        <v>466</v>
      </c>
      <c r="H331" s="12" t="s">
        <v>83</v>
      </c>
      <c r="I331" s="14" t="s">
        <v>458</v>
      </c>
      <c r="J331" s="12" t="s">
        <v>1257</v>
      </c>
      <c r="K331" s="12" t="s">
        <v>467</v>
      </c>
      <c r="L331" s="12" t="s">
        <v>479</v>
      </c>
      <c r="M331" s="12" t="s">
        <v>480</v>
      </c>
      <c r="N331" s="14" t="s">
        <v>430</v>
      </c>
      <c r="O331" s="14"/>
      <c r="P331" s="12" t="s">
        <v>431</v>
      </c>
      <c r="Q331" s="12" t="s">
        <v>1260</v>
      </c>
      <c r="R331" s="12" t="s">
        <v>1261</v>
      </c>
    </row>
  </sheetData>
  <autoFilter ref="A1:R331"/>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5"/>
    <col collapsed="false" customWidth="true" hidden="false" outlineLevel="0" max="4" min="4" style="0" width="30"/>
    <col collapsed="false" customWidth="true" hidden="false" outlineLevel="0" max="5" min="5" style="0" width="34"/>
    <col collapsed="false" customWidth="true" hidden="false" outlineLevel="0" max="6" min="6" style="0" width="10"/>
    <col collapsed="false" customWidth="true" hidden="false" outlineLevel="0" max="7" min="7" style="0" width="18"/>
    <col collapsed="false" customWidth="true" hidden="false" outlineLevel="0" max="8" min="8" style="0" width="16"/>
    <col collapsed="false" customWidth="true" hidden="false" outlineLevel="0" max="9" min="9" style="0" width="10"/>
    <col collapsed="false" customWidth="true" hidden="false" outlineLevel="0" max="10" min="10" style="0" width="22"/>
    <col collapsed="false" customWidth="true" hidden="false" outlineLevel="0" max="11" min="11" style="0" width="12"/>
    <col collapsed="false" customWidth="true" hidden="false" outlineLevel="0" max="12" min="12" style="0" width="18"/>
    <col collapsed="false" customWidth="true" hidden="false" outlineLevel="0" max="13" min="13" style="0" width="44"/>
  </cols>
  <sheetData>
    <row r="1" customFormat="false" ht="42" hidden="false" customHeight="true" outlineLevel="0" collapsed="false">
      <c r="A1" s="11" t="s">
        <v>65</v>
      </c>
      <c r="B1" s="11" t="s">
        <v>434</v>
      </c>
      <c r="C1" s="11" t="s">
        <v>444</v>
      </c>
      <c r="D1" s="11" t="s">
        <v>1262</v>
      </c>
      <c r="E1" s="11" t="s">
        <v>1263</v>
      </c>
      <c r="F1" s="11" t="s">
        <v>450</v>
      </c>
      <c r="G1" s="11" t="s">
        <v>451</v>
      </c>
      <c r="H1" s="11" t="s">
        <v>452</v>
      </c>
      <c r="I1" s="11" t="s">
        <v>1264</v>
      </c>
      <c r="J1" s="11" t="s">
        <v>1265</v>
      </c>
      <c r="K1" s="11" t="s">
        <v>1266</v>
      </c>
      <c r="L1" s="11" t="s">
        <v>1267</v>
      </c>
      <c r="M1" s="11" t="s">
        <v>1268</v>
      </c>
    </row>
  </sheetData>
  <autoFilter ref="A1:M2"/>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0"/>
    <col collapsed="false" customWidth="true" hidden="false" outlineLevel="0" max="3" min="3" style="0" width="60"/>
    <col collapsed="false" customWidth="true" hidden="false" outlineLevel="0" max="4" min="4" style="0" width="12"/>
    <col collapsed="false" customWidth="true" hidden="false" outlineLevel="0" max="6" min="5" style="0" width="9"/>
    <col collapsed="false" customWidth="true" hidden="false" outlineLevel="0" max="7" min="7" style="0" width="24"/>
  </cols>
  <sheetData>
    <row r="1" customFormat="false" ht="42" hidden="false" customHeight="true" outlineLevel="0" collapsed="false">
      <c r="A1" s="11" t="s">
        <v>1269</v>
      </c>
      <c r="B1" s="11" t="s">
        <v>76</v>
      </c>
      <c r="C1" s="11" t="s">
        <v>1270</v>
      </c>
      <c r="D1" s="11" t="s">
        <v>1271</v>
      </c>
      <c r="E1" s="11" t="s">
        <v>1272</v>
      </c>
      <c r="F1" s="11" t="s">
        <v>79</v>
      </c>
      <c r="G1" s="11" t="s">
        <v>1273</v>
      </c>
    </row>
    <row r="2" customFormat="false" ht="16.5" hidden="false" customHeight="true" outlineLevel="0" collapsed="false">
      <c r="A2" s="12" t="s">
        <v>1274</v>
      </c>
      <c r="B2" s="12" t="s">
        <v>132</v>
      </c>
      <c r="C2" s="14" t="s">
        <v>1275</v>
      </c>
      <c r="D2" s="12" t="n">
        <v>5</v>
      </c>
      <c r="E2" s="12" t="n">
        <v>5</v>
      </c>
      <c r="F2" s="17" t="n">
        <f aca="false">IF(E2&gt;0,D2/E2,"")</f>
        <v>1</v>
      </c>
      <c r="G2" s="12" t="s">
        <v>1276</v>
      </c>
    </row>
    <row r="3" customFormat="false" ht="16.5" hidden="false" customHeight="true" outlineLevel="0" collapsed="false">
      <c r="A3" s="12" t="s">
        <v>1274</v>
      </c>
      <c r="B3" s="12" t="s">
        <v>89</v>
      </c>
      <c r="C3" s="14" t="s">
        <v>1277</v>
      </c>
      <c r="D3" s="12" t="n">
        <v>320</v>
      </c>
      <c r="E3" s="12" t="n">
        <v>45</v>
      </c>
      <c r="F3" s="17" t="n">
        <f aca="false">IF(E3&gt;0,D3/E3,"")</f>
        <v>7.11111111111111</v>
      </c>
      <c r="G3" s="12" t="s">
        <v>1278</v>
      </c>
    </row>
    <row r="5" customFormat="false" ht="16.5" hidden="false" customHeight="true" outlineLevel="0" collapsed="false">
      <c r="A5" s="3" t="s">
        <v>1279</v>
      </c>
      <c r="C5" s="5" t="s">
        <v>1280</v>
      </c>
    </row>
    <row r="6" customFormat="false" ht="30" hidden="false" customHeight="true" outlineLevel="0" collapsed="false">
      <c r="A6" s="3" t="s">
        <v>1281</v>
      </c>
      <c r="C6" s="5" t="s">
        <v>1282</v>
      </c>
    </row>
    <row r="7" customFormat="false" ht="16.5" hidden="false" customHeight="true" outlineLevel="0" collapsed="false">
      <c r="A7" s="3" t="s">
        <v>1283</v>
      </c>
      <c r="C7" s="5" t="s">
        <v>1284</v>
      </c>
    </row>
    <row r="8" customFormat="false" ht="69" hidden="false" customHeight="true" outlineLevel="0" collapsed="false">
      <c r="A8" s="3" t="s">
        <v>1285</v>
      </c>
      <c r="C8" s="5" t="s">
        <v>1286</v>
      </c>
    </row>
    <row r="9" customFormat="false" ht="55.5" hidden="false" customHeight="true" outlineLevel="0" collapsed="false">
      <c r="A9" s="3" t="s">
        <v>1273</v>
      </c>
      <c r="C9" s="5" t="s">
        <v>1287</v>
      </c>
    </row>
  </sheetData>
  <autoFilter ref="A1:G3"/>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2026-10-10T19:50:11Z</dcterms:created>
  <dc:creator>openpyxl</dc:creator>
  <dc:description/>
  <dc:language>en-US</dc:language>
  <cp:lastModifiedBy/>
  <dcterms:modified xsi:type="dcterms:W3CDTF">2026-10-10T19:50:11Z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